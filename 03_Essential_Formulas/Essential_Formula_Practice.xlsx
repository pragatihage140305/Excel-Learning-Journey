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16EFF0B2-871C-4677-9D2C-F439E1C4BB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<sst xmlns="http://schemas.openxmlformats.org/spreadsheetml/2006/main" count="21" uniqueCount="21">
  <si>
    <t>SR.no</t>
  </si>
  <si>
    <t>Name of Student</t>
  </si>
  <si>
    <t>Sub 1</t>
  </si>
  <si>
    <t>Sub 2</t>
  </si>
  <si>
    <t>Sub 3</t>
  </si>
  <si>
    <t>Total</t>
  </si>
  <si>
    <t>Max</t>
  </si>
  <si>
    <t>Min</t>
  </si>
  <si>
    <t>Average</t>
  </si>
  <si>
    <t>%Age</t>
  </si>
  <si>
    <t>Result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</si>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</sst>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M9" sqref="M9"/>
    </sheetView>
  </sheetViews>
  <sheetFormatPr defaultRowHeight="15"/>
  <cols>
    <col min="2" max="2" width="16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54</v>
      </c>
      <c r="D2">
        <v>23</v>
      </c>
      <c r="E2">
        <v>33</v>
      </c>
      <c r="F2">
        <f>SUM(C2:E2)</f>
        <v>110</v>
      </c>
      <c r="G2">
        <f>MAX(C2:E2)</f>
        <v>54</v>
      </c>
      <c r="H2">
        <f>MIN(C2:E2)</f>
        <v>23</v>
      </c>
      <c r="I2" s="2">
        <f>AVERAGE(C2:E2)</f>
        <v>36.666666666666664</v>
      </c>
      <c r="J2" s="2">
        <f>F2/350*100</f>
        <v>31.428571428571427</v>
      </c>
      <c r="K2" t="str">
        <f>IF(J2&gt;=35,"Pass","Fail")</f>
        <v>Fail</v>
      </c>
    </row>
    <row r="3" spans="1:11">
      <c r="A3">
        <v>2</v>
      </c>
      <c r="B3" t="s">
        <v>12</v>
      </c>
      <c r="C3">
        <v>62</v>
      </c>
      <c r="D3">
        <v>76</v>
      </c>
      <c r="E3">
        <v>30</v>
      </c>
      <c r="F3">
        <f t="shared" ref="F3:F11" si="0">SUM(C3:E3)</f>
        <v>168</v>
      </c>
      <c r="G3">
        <f t="shared" ref="G3:G11" si="1">MAX(C3:E3)</f>
        <v>76</v>
      </c>
      <c r="H3">
        <f t="shared" ref="H3:H11" si="2">MIN(C3:E3)</f>
        <v>30</v>
      </c>
      <c r="I3" s="2">
        <f t="shared" ref="I3:I11" si="3">AVERAGE(C3:E3)</f>
        <v>56</v>
      </c>
      <c r="J3" s="2">
        <f t="shared" ref="J3:J11" si="4">F3/350*100</f>
        <v>48</v>
      </c>
      <c r="K3" t="str">
        <f t="shared" ref="K3:K11" si="5">IF(J3&gt;=35,"Pass","Fail")</f>
        <v>Pass</v>
      </c>
    </row>
    <row r="4" spans="1:11">
      <c r="A4">
        <v>3</v>
      </c>
      <c r="B4" t="s">
        <v>13</v>
      </c>
      <c r="C4">
        <v>94</v>
      </c>
      <c r="D4">
        <v>18</v>
      </c>
      <c r="E4">
        <v>44</v>
      </c>
      <c r="F4">
        <f t="shared" si="0"/>
        <v>156</v>
      </c>
      <c r="G4">
        <f t="shared" si="1"/>
        <v>94</v>
      </c>
      <c r="H4">
        <f t="shared" si="2"/>
        <v>18</v>
      </c>
      <c r="I4" s="2">
        <f t="shared" si="3"/>
        <v>52</v>
      </c>
      <c r="J4" s="2">
        <f t="shared" si="4"/>
        <v>44.571428571428569</v>
      </c>
      <c r="K4" t="str">
        <f t="shared" si="5"/>
        <v>Pass</v>
      </c>
    </row>
    <row r="5" spans="1:11">
      <c r="A5">
        <v>4</v>
      </c>
      <c r="B5" t="s">
        <v>14</v>
      </c>
      <c r="C5">
        <v>33</v>
      </c>
      <c r="D5">
        <v>10</v>
      </c>
      <c r="E5">
        <v>11</v>
      </c>
      <c r="F5">
        <f t="shared" si="0"/>
        <v>54</v>
      </c>
      <c r="G5">
        <f t="shared" si="1"/>
        <v>33</v>
      </c>
      <c r="H5">
        <f t="shared" si="2"/>
        <v>10</v>
      </c>
      <c r="I5" s="2">
        <f t="shared" si="3"/>
        <v>18</v>
      </c>
      <c r="J5" s="2">
        <f t="shared" si="4"/>
        <v>15.428571428571427</v>
      </c>
      <c r="K5" t="str">
        <f t="shared" si="5"/>
        <v>Fail</v>
      </c>
    </row>
    <row r="6" spans="1:11">
      <c r="A6">
        <v>5</v>
      </c>
      <c r="B6" t="s">
        <v>15</v>
      </c>
      <c r="C6">
        <v>95</v>
      </c>
      <c r="D6">
        <v>65</v>
      </c>
      <c r="E6">
        <v>97</v>
      </c>
      <c r="F6">
        <f t="shared" si="0"/>
        <v>257</v>
      </c>
      <c r="G6">
        <f t="shared" si="1"/>
        <v>97</v>
      </c>
      <c r="H6">
        <f t="shared" si="2"/>
        <v>65</v>
      </c>
      <c r="I6" s="2">
        <f t="shared" si="3"/>
        <v>85.666666666666671</v>
      </c>
      <c r="J6" s="2">
        <f t="shared" si="4"/>
        <v>73.428571428571431</v>
      </c>
      <c r="K6" t="str">
        <f t="shared" si="5"/>
        <v>Pass</v>
      </c>
    </row>
    <row r="7" spans="1:11">
      <c r="A7">
        <v>6</v>
      </c>
      <c r="B7" t="s">
        <v>16</v>
      </c>
      <c r="C7">
        <v>64</v>
      </c>
      <c r="D7">
        <v>42</v>
      </c>
      <c r="E7">
        <v>22</v>
      </c>
      <c r="F7">
        <f t="shared" si="0"/>
        <v>128</v>
      </c>
      <c r="G7">
        <f t="shared" si="1"/>
        <v>64</v>
      </c>
      <c r="H7">
        <f t="shared" si="2"/>
        <v>22</v>
      </c>
      <c r="I7" s="2">
        <f t="shared" si="3"/>
        <v>42.666666666666664</v>
      </c>
      <c r="J7" s="2">
        <f t="shared" si="4"/>
        <v>36.571428571428569</v>
      </c>
      <c r="K7" t="str">
        <f t="shared" si="5"/>
        <v>Pass</v>
      </c>
    </row>
    <row r="8" spans="1:11">
      <c r="A8">
        <v>7</v>
      </c>
      <c r="B8" t="s">
        <v>17</v>
      </c>
      <c r="C8">
        <v>46</v>
      </c>
      <c r="D8">
        <v>35</v>
      </c>
      <c r="E8">
        <v>47</v>
      </c>
      <c r="F8">
        <f t="shared" si="0"/>
        <v>128</v>
      </c>
      <c r="G8">
        <f t="shared" si="1"/>
        <v>47</v>
      </c>
      <c r="H8">
        <f t="shared" si="2"/>
        <v>35</v>
      </c>
      <c r="I8" s="2">
        <f t="shared" si="3"/>
        <v>42.666666666666664</v>
      </c>
      <c r="J8" s="2">
        <f t="shared" si="4"/>
        <v>36.571428571428569</v>
      </c>
      <c r="K8" t="str">
        <f t="shared" si="5"/>
        <v>Pass</v>
      </c>
    </row>
    <row r="9" spans="1:11">
      <c r="A9">
        <v>8</v>
      </c>
      <c r="B9" t="s">
        <v>18</v>
      </c>
      <c r="C9">
        <v>78</v>
      </c>
      <c r="D9">
        <v>42</v>
      </c>
      <c r="E9">
        <v>55</v>
      </c>
      <c r="F9">
        <f t="shared" si="0"/>
        <v>175</v>
      </c>
      <c r="G9">
        <f t="shared" si="1"/>
        <v>78</v>
      </c>
      <c r="H9">
        <f t="shared" si="2"/>
        <v>42</v>
      </c>
      <c r="I9" s="2">
        <f t="shared" si="3"/>
        <v>58.333333333333336</v>
      </c>
      <c r="J9" s="2">
        <f t="shared" si="4"/>
        <v>50</v>
      </c>
      <c r="K9" t="str">
        <f t="shared" si="5"/>
        <v>Pass</v>
      </c>
    </row>
    <row r="10" spans="1:11">
      <c r="A10">
        <v>9</v>
      </c>
      <c r="B10" t="s">
        <v>19</v>
      </c>
      <c r="C10">
        <v>72</v>
      </c>
      <c r="D10">
        <v>20</v>
      </c>
      <c r="E10">
        <v>67</v>
      </c>
      <c r="F10">
        <f t="shared" si="0"/>
        <v>159</v>
      </c>
      <c r="G10">
        <f t="shared" si="1"/>
        <v>72</v>
      </c>
      <c r="H10">
        <f t="shared" si="2"/>
        <v>20</v>
      </c>
      <c r="I10" s="2">
        <f t="shared" si="3"/>
        <v>53</v>
      </c>
      <c r="J10" s="2">
        <f t="shared" si="4"/>
        <v>45.428571428571431</v>
      </c>
      <c r="K10" t="str">
        <f t="shared" si="5"/>
        <v>Pass</v>
      </c>
    </row>
    <row r="11" spans="1:11">
      <c r="A11">
        <v>10</v>
      </c>
      <c r="B11" t="s">
        <v>20</v>
      </c>
      <c r="C11">
        <v>34</v>
      </c>
      <c r="D11">
        <v>36</v>
      </c>
      <c r="E11">
        <v>67</v>
      </c>
      <c r="F11">
        <f t="shared" si="0"/>
        <v>137</v>
      </c>
      <c r="G11">
        <f t="shared" si="1"/>
        <v>67</v>
      </c>
      <c r="H11">
        <f t="shared" si="2"/>
        <v>34</v>
      </c>
      <c r="I11" s="2">
        <f t="shared" si="3"/>
        <v>45.666666666666664</v>
      </c>
      <c r="J11" s="2">
        <f t="shared" si="4"/>
        <v>39.142857142857139</v>
      </c>
      <c r="K11" t="str">
        <f t="shared" si="5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2026-08-22T04:37:28Z</dcterms:modified>
  <cp:category/>
  <cp:contentStatus/>
</cp:coreProperties>
</file>