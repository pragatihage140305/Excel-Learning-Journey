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35B0C1D8-0FE1-4F17-9CC6-52D1226D29C3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definedNames>
    <definedName name="_xlnm._FilterDatabase" localSheetId="1" hidden="1">Sheet3!$F$1:$I$10</definedName>
    <definedName name="_xlnm._FilterDatabase" localSheetId="0" hidden="1">Sheet1!$A$1:$K$11</definedName>
    <definedName name="_xlnm._FilterDatabase" localSheetId="2" hidden="1">Sheet2!$A$2:$E$9</definedName>
    <definedName name="_xlnm._FilterDatabase" localSheetId="3" hidden="1">Sheet4!$A$61:$C$69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11" i="1"/>
  <c r="G2" i="1"/>
  <c r="F2" i="1"/>
  <c r="J2" i="1" s="1"/>
  <c r="K2" i="1" s="1"/>
  <c r="F3" i="1"/>
  <c r="J3" i="1" s="1"/>
  <c r="K3" i="1" s="1"/>
  <c r="F4" i="1"/>
  <c r="J4" i="1" s="1"/>
  <c r="K4" i="1" s="1"/>
  <c r="F5" i="1"/>
  <c r="J5" i="1" s="1"/>
  <c r="K5" i="1" s="1"/>
  <c r="F6" i="1"/>
  <c r="J6" i="1" s="1"/>
  <c r="K6" i="1" s="1"/>
  <c r="F7" i="1"/>
  <c r="J7" i="1" s="1"/>
  <c r="K7" i="1" s="1"/>
  <c r="F8" i="1"/>
  <c r="J8" i="1" s="1"/>
  <c r="K8" i="1" s="1"/>
  <c r="F9" i="1"/>
  <c r="J9" i="1" s="1"/>
  <c r="K9" i="1" s="1"/>
  <c r="F10" i="1"/>
  <c r="J10" i="1" s="1"/>
  <c r="K10" i="1" s="1"/>
  <c r="F11" i="1"/>
  <c r="J11" i="1" s="1"/>
  <c r="K11" i="1" s="1"/>
</calcChain>
</file>

<file path=xl/sharedStrings.xml><?xml version="1.0" encoding="utf-8"?>
<sst xmlns="http://schemas.openxmlformats.org/spreadsheetml/2006/main" count="288" uniqueCount="64">
  <si>
    <t>SR.no</t>
  </si>
  <si>
    <t>Name of Student</t>
  </si>
  <si>
    <t>Sub 1</t>
  </si>
  <si>
    <t>Sub 2</t>
  </si>
  <si>
    <t>Sub 3</t>
  </si>
  <si>
    <t>Total</t>
  </si>
  <si>
    <t>Max</t>
  </si>
  <si>
    <t>Min</t>
  </si>
  <si>
    <t>Average</t>
  </si>
  <si>
    <t>% Age</t>
  </si>
  <si>
    <t>Result</t>
  </si>
  <si>
    <t>Aachal Sharma</t>
  </si>
  <si>
    <t xml:space="preserve">hitesh </t>
  </si>
  <si>
    <t>panjab</t>
  </si>
  <si>
    <t>dinehsh sharma</t>
  </si>
  <si>
    <t>radha patil</t>
  </si>
  <si>
    <t>gautami patil</t>
  </si>
  <si>
    <t>ram rathi</t>
  </si>
  <si>
    <t>shivam kulat</t>
  </si>
  <si>
    <t>panjab national</t>
  </si>
  <si>
    <t>rama mali</t>
  </si>
  <si>
    <t>L</t>
  </si>
  <si>
    <t>=SUM()</t>
  </si>
  <si>
    <t>Student</t>
  </si>
  <si>
    <t>City</t>
  </si>
  <si>
    <t>Marks</t>
  </si>
  <si>
    <t>Sort by Date</t>
  </si>
  <si>
    <t>Custom Sort by Department + Marks</t>
  </si>
  <si>
    <t>Pragati</t>
  </si>
  <si>
    <t>Nagpur</t>
  </si>
  <si>
    <t>Employee</t>
  </si>
  <si>
    <t>Joining Date</t>
  </si>
  <si>
    <t>Department</t>
  </si>
  <si>
    <t>Payal</t>
  </si>
  <si>
    <t>Delhi</t>
  </si>
  <si>
    <t>Finance</t>
  </si>
  <si>
    <t>Shivam</t>
  </si>
  <si>
    <t>Mumbai</t>
  </si>
  <si>
    <t>Ram</t>
  </si>
  <si>
    <t>18-01-2024</t>
  </si>
  <si>
    <t>Radha</t>
  </si>
  <si>
    <t>HR</t>
  </si>
  <si>
    <t>Siya</t>
  </si>
  <si>
    <t>Pune</t>
  </si>
  <si>
    <t>15-08-2024</t>
  </si>
  <si>
    <t>Faran</t>
  </si>
  <si>
    <t>27-03-2022</t>
  </si>
  <si>
    <t>Aachal</t>
  </si>
  <si>
    <t>IT</t>
  </si>
  <si>
    <t>22-11-2024</t>
  </si>
  <si>
    <t>Sort Marks: Largest to Smallest</t>
  </si>
  <si>
    <t>Rohit</t>
  </si>
  <si>
    <t>Neha</t>
  </si>
  <si>
    <t>Name</t>
  </si>
  <si>
    <t>Pass</t>
  </si>
  <si>
    <t>Fail</t>
  </si>
  <si>
    <t>Nashik</t>
  </si>
  <si>
    <t>Pending</t>
  </si>
  <si>
    <t>Filter by text</t>
  </si>
  <si>
    <t>Filter by Number</t>
  </si>
  <si>
    <t xml:space="preserve">Marks is greater than 70 </t>
  </si>
  <si>
    <t>🟢 Question 3 — Filter by Multiple Conditions</t>
  </si>
  <si>
    <t>🟢 Question 4 — Filter by Text Contains</t>
  </si>
  <si>
    <t>🟢 Question 5 — Filter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</si>
</sst>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14" fontId="0" fillId="0" borderId="0" xfId="0" applyNumberForma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5">
    <dxf>
      <font>
        <color rgb="FF00B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5" tint="-0.249977111117893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7030A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F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70C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B0F0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</dxf>
    <dxf>
      <font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3"/>
  <sheetViews>
    <sheetView workbookViewId="0">
      <selection activeCell="I24" sqref="I24"/>
    </sheetView>
  </sheetViews>
  <sheetFormatPr defaultRowHeight="15"/>
  <cols>
    <col min="2" max="2" width="16.140625" bestFit="1" customWidth="1"/>
    <col min="10" max="10" width="10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54</v>
      </c>
      <c r="D2">
        <v>23</v>
      </c>
      <c r="E2">
        <v>33</v>
      </c>
      <c r="F2">
        <f>SUM(C2:E2)</f>
        <v>110</v>
      </c>
      <c r="G2">
        <f>MAX(C2:E2)</f>
        <v>54</v>
      </c>
      <c r="H2">
        <f>MIN(C2:E2)</f>
        <v>23</v>
      </c>
      <c r="I2" s="2">
        <f>AVERAGE(C2:E2)</f>
        <v>36.666666666666664</v>
      </c>
      <c r="J2" s="3">
        <f>F2/350*100</f>
        <v>31.428571428571427</v>
      </c>
      <c r="K2" t="str">
        <f>IF(J2&gt;=35,"Pass","Fail")</f>
        <v>Fail</v>
      </c>
    </row>
    <row r="3" spans="1:11">
      <c r="A3">
        <v>2</v>
      </c>
      <c r="B3" t="s">
        <v>12</v>
      </c>
      <c r="C3">
        <v>62</v>
      </c>
      <c r="D3">
        <v>76</v>
      </c>
      <c r="E3">
        <v>30</v>
      </c>
      <c r="F3">
        <f t="shared" ref="F3:F11" si="0">SUM(C3:E3)</f>
        <v>168</v>
      </c>
      <c r="G3">
        <f t="shared" ref="G3:G11" si="1">MAX(C3:E3)</f>
        <v>76</v>
      </c>
      <c r="H3">
        <f t="shared" ref="H3:H11" si="2">MIN(C3:E3)</f>
        <v>30</v>
      </c>
      <c r="I3" s="2">
        <f t="shared" ref="I3:I11" si="3">AVERAGE(C3:E3)</f>
        <v>56</v>
      </c>
      <c r="J3" s="3">
        <f t="shared" ref="J3:J11" si="4">F3/350*100</f>
        <v>48</v>
      </c>
      <c r="K3" t="str">
        <f t="shared" ref="K3:K11" si="5">IF(J3&gt;=35,"Pass","Fail")</f>
        <v>Pass</v>
      </c>
    </row>
    <row r="4" spans="1:11">
      <c r="A4">
        <v>3</v>
      </c>
      <c r="B4" t="s">
        <v>13</v>
      </c>
      <c r="C4">
        <v>94</v>
      </c>
      <c r="D4">
        <v>18</v>
      </c>
      <c r="E4">
        <v>44</v>
      </c>
      <c r="F4">
        <f t="shared" si="0"/>
        <v>156</v>
      </c>
      <c r="G4">
        <f t="shared" si="1"/>
        <v>94</v>
      </c>
      <c r="H4">
        <f t="shared" si="2"/>
        <v>18</v>
      </c>
      <c r="I4" s="2">
        <f t="shared" si="3"/>
        <v>52</v>
      </c>
      <c r="J4" s="3">
        <f t="shared" si="4"/>
        <v>44.571428571428569</v>
      </c>
      <c r="K4" t="str">
        <f t="shared" si="5"/>
        <v>Pass</v>
      </c>
    </row>
    <row r="5" spans="1:11">
      <c r="A5">
        <v>4</v>
      </c>
      <c r="B5" t="s">
        <v>14</v>
      </c>
      <c r="C5">
        <v>33</v>
      </c>
      <c r="D5">
        <v>10</v>
      </c>
      <c r="E5">
        <v>11</v>
      </c>
      <c r="F5">
        <f t="shared" si="0"/>
        <v>54</v>
      </c>
      <c r="G5">
        <f t="shared" si="1"/>
        <v>33</v>
      </c>
      <c r="H5">
        <f t="shared" si="2"/>
        <v>10</v>
      </c>
      <c r="I5" s="2">
        <f t="shared" si="3"/>
        <v>18</v>
      </c>
      <c r="J5" s="3">
        <f t="shared" si="4"/>
        <v>15.428571428571427</v>
      </c>
      <c r="K5" t="str">
        <f t="shared" si="5"/>
        <v>Fail</v>
      </c>
    </row>
    <row r="6" spans="1:11">
      <c r="A6">
        <v>5</v>
      </c>
      <c r="B6" t="s">
        <v>15</v>
      </c>
      <c r="C6">
        <v>95</v>
      </c>
      <c r="D6">
        <v>65</v>
      </c>
      <c r="E6">
        <v>97</v>
      </c>
      <c r="F6">
        <f t="shared" si="0"/>
        <v>257</v>
      </c>
      <c r="G6">
        <f t="shared" si="1"/>
        <v>97</v>
      </c>
      <c r="H6">
        <f t="shared" si="2"/>
        <v>65</v>
      </c>
      <c r="I6" s="2">
        <f t="shared" si="3"/>
        <v>85.666666666666671</v>
      </c>
      <c r="J6" s="3">
        <f t="shared" si="4"/>
        <v>73.428571428571431</v>
      </c>
      <c r="K6" t="str">
        <f t="shared" si="5"/>
        <v>Pass</v>
      </c>
    </row>
    <row r="7" spans="1:11">
      <c r="A7">
        <v>6</v>
      </c>
      <c r="B7" t="s">
        <v>16</v>
      </c>
      <c r="C7">
        <v>64</v>
      </c>
      <c r="D7">
        <v>42</v>
      </c>
      <c r="E7">
        <v>22</v>
      </c>
      <c r="F7">
        <f t="shared" si="0"/>
        <v>128</v>
      </c>
      <c r="G7">
        <f t="shared" si="1"/>
        <v>64</v>
      </c>
      <c r="H7">
        <f t="shared" si="2"/>
        <v>22</v>
      </c>
      <c r="I7" s="2">
        <f t="shared" si="3"/>
        <v>42.666666666666664</v>
      </c>
      <c r="J7" s="3">
        <f t="shared" si="4"/>
        <v>36.571428571428569</v>
      </c>
      <c r="K7" t="str">
        <f t="shared" si="5"/>
        <v>Pass</v>
      </c>
    </row>
    <row r="8" spans="1:11">
      <c r="A8">
        <v>7</v>
      </c>
      <c r="B8" t="s">
        <v>17</v>
      </c>
      <c r="C8">
        <v>46</v>
      </c>
      <c r="D8">
        <v>35</v>
      </c>
      <c r="E8">
        <v>47</v>
      </c>
      <c r="F8">
        <f t="shared" si="0"/>
        <v>128</v>
      </c>
      <c r="G8">
        <f t="shared" si="1"/>
        <v>47</v>
      </c>
      <c r="H8">
        <f t="shared" si="2"/>
        <v>35</v>
      </c>
      <c r="I8" s="2">
        <f t="shared" si="3"/>
        <v>42.666666666666664</v>
      </c>
      <c r="J8" s="3">
        <f t="shared" si="4"/>
        <v>36.571428571428569</v>
      </c>
      <c r="K8" t="str">
        <f t="shared" si="5"/>
        <v>Pass</v>
      </c>
    </row>
    <row r="9" spans="1:11">
      <c r="A9">
        <v>8</v>
      </c>
      <c r="B9" t="s">
        <v>18</v>
      </c>
      <c r="C9">
        <v>78</v>
      </c>
      <c r="D9">
        <v>42</v>
      </c>
      <c r="E9">
        <v>55</v>
      </c>
      <c r="F9">
        <f t="shared" si="0"/>
        <v>175</v>
      </c>
      <c r="G9">
        <f t="shared" si="1"/>
        <v>78</v>
      </c>
      <c r="H9">
        <f t="shared" si="2"/>
        <v>42</v>
      </c>
      <c r="I9" s="2">
        <f t="shared" si="3"/>
        <v>58.333333333333336</v>
      </c>
      <c r="J9" s="3">
        <f t="shared" si="4"/>
        <v>50</v>
      </c>
      <c r="K9" t="str">
        <f t="shared" si="5"/>
        <v>Pass</v>
      </c>
    </row>
    <row r="10" spans="1:11">
      <c r="A10">
        <v>9</v>
      </c>
      <c r="B10" t="s">
        <v>19</v>
      </c>
      <c r="C10">
        <v>72</v>
      </c>
      <c r="D10">
        <v>20</v>
      </c>
      <c r="E10">
        <v>67</v>
      </c>
      <c r="F10">
        <f t="shared" si="0"/>
        <v>159</v>
      </c>
      <c r="G10">
        <f t="shared" si="1"/>
        <v>72</v>
      </c>
      <c r="H10">
        <f t="shared" si="2"/>
        <v>20</v>
      </c>
      <c r="I10" s="2">
        <f t="shared" si="3"/>
        <v>53</v>
      </c>
      <c r="J10" s="3">
        <f t="shared" si="4"/>
        <v>45.428571428571431</v>
      </c>
      <c r="K10" t="str">
        <f t="shared" si="5"/>
        <v>Pass</v>
      </c>
    </row>
    <row r="11" spans="1:11">
      <c r="A11">
        <v>10</v>
      </c>
      <c r="B11" t="s">
        <v>20</v>
      </c>
      <c r="C11">
        <v>34</v>
      </c>
      <c r="D11">
        <v>36</v>
      </c>
      <c r="E11">
        <v>67</v>
      </c>
      <c r="F11">
        <f t="shared" si="0"/>
        <v>137</v>
      </c>
      <c r="G11">
        <f t="shared" si="1"/>
        <v>67</v>
      </c>
      <c r="H11" t="s">
        <v>21</v>
      </c>
      <c r="I11" s="2">
        <f t="shared" si="3"/>
        <v>45.666666666666664</v>
      </c>
      <c r="J11" s="3">
        <f t="shared" si="4"/>
        <v>39.142857142857139</v>
      </c>
      <c r="K11" t="str">
        <f t="shared" si="5"/>
        <v>Pass</v>
      </c>
    </row>
    <row r="23" spans="9:9">
      <c r="I23" t="s">
        <v>22</v>
      </c>
    </row>
  </sheetData>
  <autoFilter ref="A1:K11" xr:uid="{00000000-0001-0000-0000-000000000000}"/>
  <conditionalFormatting sqref="J2:J5 J7:J11">
    <cfRule type="cellIs" dxfId="24" priority="5" operator="greaterThan">
      <formula>60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CD2C-9537-45CE-A784-271057ABBAFE}">
  <sheetPr filterMode="1"/>
  <dimension ref="A1:I47"/>
  <sheetViews>
    <sheetView workbookViewId="0">
      <selection activeCell="B3" sqref="B3"/>
    </sheetView>
  </sheetViews>
  <sheetFormatPr defaultRowHeight="15"/>
  <cols>
    <col min="2" max="2" width="15.85546875" customWidth="1"/>
    <col min="6" max="6" width="11.85546875" bestFit="1" customWidth="1"/>
    <col min="7" max="7" width="13" customWidth="1"/>
    <col min="8" max="8" width="12.5703125" customWidth="1"/>
  </cols>
  <sheetData>
    <row r="1" spans="1:9">
      <c r="A1" s="9" t="s">
        <v>23</v>
      </c>
      <c r="B1" s="9" t="s">
        <v>24</v>
      </c>
      <c r="C1" s="9" t="s">
        <v>25</v>
      </c>
      <c r="F1" s="4" t="s">
        <v>26</v>
      </c>
      <c r="G1" t="s">
        <v>27</v>
      </c>
      <c r="H1" s="4"/>
    </row>
    <row r="2" spans="1:9">
      <c r="A2" s="10" t="s">
        <v>28</v>
      </c>
      <c r="B2" s="10" t="s">
        <v>29</v>
      </c>
      <c r="C2" s="10">
        <v>35</v>
      </c>
      <c r="F2" s="9" t="s">
        <v>30</v>
      </c>
      <c r="G2" s="13" t="s">
        <v>31</v>
      </c>
      <c r="H2" s="13" t="s">
        <v>32</v>
      </c>
      <c r="I2" s="9" t="s">
        <v>25</v>
      </c>
    </row>
    <row r="3" spans="1:9">
      <c r="A3" s="10" t="s">
        <v>33</v>
      </c>
      <c r="B3" s="10" t="s">
        <v>34</v>
      </c>
      <c r="C3" s="10">
        <v>45</v>
      </c>
      <c r="F3" s="10" t="s">
        <v>28</v>
      </c>
      <c r="G3" s="14">
        <v>45055</v>
      </c>
      <c r="H3" s="15" t="s">
        <v>35</v>
      </c>
      <c r="I3" s="10">
        <v>65</v>
      </c>
    </row>
    <row r="4" spans="1:9">
      <c r="A4" s="10" t="s">
        <v>36</v>
      </c>
      <c r="B4" s="10" t="s">
        <v>37</v>
      </c>
      <c r="C4" s="10">
        <v>56</v>
      </c>
      <c r="F4" s="10" t="s">
        <v>38</v>
      </c>
      <c r="G4" s="15" t="s">
        <v>39</v>
      </c>
      <c r="H4" s="15" t="s">
        <v>35</v>
      </c>
      <c r="I4" s="10">
        <v>95</v>
      </c>
    </row>
    <row r="5" spans="1:9">
      <c r="A5" s="10" t="s">
        <v>40</v>
      </c>
      <c r="B5" s="10" t="s">
        <v>29</v>
      </c>
      <c r="C5" s="10">
        <v>63</v>
      </c>
      <c r="F5" s="10" t="s">
        <v>33</v>
      </c>
      <c r="G5" s="14">
        <v>44987</v>
      </c>
      <c r="H5" s="15" t="s">
        <v>41</v>
      </c>
      <c r="I5" s="10">
        <v>92</v>
      </c>
    </row>
    <row r="6" spans="1:9">
      <c r="A6" s="10" t="s">
        <v>42</v>
      </c>
      <c r="B6" s="10" t="s">
        <v>43</v>
      </c>
      <c r="C6" s="10">
        <v>71</v>
      </c>
      <c r="F6" s="10" t="s">
        <v>42</v>
      </c>
      <c r="G6" s="15" t="s">
        <v>44</v>
      </c>
      <c r="H6" s="15" t="s">
        <v>41</v>
      </c>
      <c r="I6" s="10">
        <v>75</v>
      </c>
    </row>
    <row r="7" spans="1:9">
      <c r="A7" s="10" t="s">
        <v>38</v>
      </c>
      <c r="B7" s="10" t="s">
        <v>37</v>
      </c>
      <c r="C7" s="10">
        <v>78</v>
      </c>
      <c r="F7" s="10" t="s">
        <v>45</v>
      </c>
      <c r="G7" s="15" t="s">
        <v>46</v>
      </c>
      <c r="H7" s="15" t="s">
        <v>41</v>
      </c>
      <c r="I7" s="10">
        <v>85</v>
      </c>
    </row>
    <row r="8" spans="1:9">
      <c r="A8" s="10" t="s">
        <v>45</v>
      </c>
      <c r="B8" s="10" t="s">
        <v>34</v>
      </c>
      <c r="C8" s="10">
        <v>88</v>
      </c>
      <c r="F8" s="10" t="s">
        <v>47</v>
      </c>
      <c r="G8" s="14">
        <v>44840</v>
      </c>
      <c r="H8" s="15" t="s">
        <v>48</v>
      </c>
      <c r="I8" s="10">
        <v>8</v>
      </c>
    </row>
    <row r="9" spans="1:9">
      <c r="A9" s="10" t="s">
        <v>47</v>
      </c>
      <c r="B9" s="10" t="s">
        <v>43</v>
      </c>
      <c r="C9" s="10">
        <v>92</v>
      </c>
      <c r="F9" s="10" t="s">
        <v>40</v>
      </c>
      <c r="G9" s="14">
        <v>45272</v>
      </c>
      <c r="H9" s="15" t="s">
        <v>48</v>
      </c>
      <c r="I9" s="10">
        <v>88</v>
      </c>
    </row>
    <row r="10" spans="1:9">
      <c r="F10" s="10" t="s">
        <v>36</v>
      </c>
      <c r="G10" s="15" t="s">
        <v>49</v>
      </c>
      <c r="H10" s="15" t="s">
        <v>48</v>
      </c>
      <c r="I10" s="10">
        <v>62</v>
      </c>
    </row>
    <row r="11" spans="1:9">
      <c r="A11" t="s">
        <v>50</v>
      </c>
    </row>
    <row r="12" spans="1:9">
      <c r="A12" s="9" t="s">
        <v>23</v>
      </c>
      <c r="B12" s="9" t="s">
        <v>25</v>
      </c>
      <c r="C12" s="9" t="s">
        <v>24</v>
      </c>
    </row>
    <row r="13" spans="1:9">
      <c r="A13" s="10" t="s">
        <v>33</v>
      </c>
      <c r="B13" s="10">
        <v>95</v>
      </c>
      <c r="C13" s="10" t="s">
        <v>43</v>
      </c>
    </row>
    <row r="14" spans="1:9">
      <c r="A14" s="10" t="s">
        <v>36</v>
      </c>
      <c r="B14" s="10">
        <v>92</v>
      </c>
      <c r="C14" s="10" t="s">
        <v>37</v>
      </c>
    </row>
    <row r="15" spans="1:9">
      <c r="A15" s="10" t="s">
        <v>40</v>
      </c>
      <c r="B15" s="10">
        <v>88</v>
      </c>
      <c r="C15" s="10" t="s">
        <v>34</v>
      </c>
    </row>
    <row r="16" spans="1:9">
      <c r="A16" s="10" t="s">
        <v>38</v>
      </c>
      <c r="B16" s="10">
        <v>79</v>
      </c>
      <c r="C16" s="10" t="s">
        <v>43</v>
      </c>
    </row>
    <row r="17" spans="1:3">
      <c r="A17" s="10" t="s">
        <v>47</v>
      </c>
      <c r="B17" s="10">
        <v>72</v>
      </c>
      <c r="C17" s="10" t="s">
        <v>29</v>
      </c>
    </row>
    <row r="18" spans="1:3">
      <c r="A18" s="10" t="s">
        <v>28</v>
      </c>
      <c r="B18" s="10">
        <v>61</v>
      </c>
      <c r="C18" s="10" t="s">
        <v>37</v>
      </c>
    </row>
    <row r="19" spans="1:3">
      <c r="A19" s="10" t="s">
        <v>45</v>
      </c>
      <c r="B19" s="10">
        <v>54</v>
      </c>
      <c r="C19" s="10" t="s">
        <v>34</v>
      </c>
    </row>
    <row r="20" spans="1:3">
      <c r="A20" s="10" t="s">
        <v>42</v>
      </c>
      <c r="B20" s="10">
        <v>45</v>
      </c>
      <c r="C20" s="10" t="s">
        <v>29</v>
      </c>
    </row>
    <row r="24" spans="1:3">
      <c r="A24" s="11" t="s">
        <v>23</v>
      </c>
      <c r="B24" s="11" t="s">
        <v>32</v>
      </c>
      <c r="C24" s="11" t="s">
        <v>25</v>
      </c>
    </row>
    <row r="25" spans="1:3">
      <c r="A25" s="4" t="s">
        <v>36</v>
      </c>
      <c r="B25" s="4" t="s">
        <v>41</v>
      </c>
      <c r="C25" s="4">
        <v>95</v>
      </c>
    </row>
    <row r="26" spans="1:3">
      <c r="A26" s="4" t="s">
        <v>28</v>
      </c>
      <c r="B26" s="4" t="s">
        <v>48</v>
      </c>
      <c r="C26" s="4">
        <v>91</v>
      </c>
    </row>
    <row r="27" spans="1:3">
      <c r="A27" s="4" t="s">
        <v>40</v>
      </c>
      <c r="B27" s="4" t="s">
        <v>41</v>
      </c>
      <c r="C27" s="4">
        <v>88</v>
      </c>
    </row>
    <row r="28" spans="1:3">
      <c r="A28" s="4" t="s">
        <v>47</v>
      </c>
      <c r="B28" s="4" t="s">
        <v>48</v>
      </c>
      <c r="C28" s="4">
        <v>85</v>
      </c>
    </row>
    <row r="29" spans="1:3">
      <c r="A29" s="4" t="s">
        <v>51</v>
      </c>
      <c r="B29" s="4" t="s">
        <v>41</v>
      </c>
      <c r="C29" s="4">
        <v>81</v>
      </c>
    </row>
    <row r="30" spans="1:3">
      <c r="A30" s="4" t="s">
        <v>38</v>
      </c>
      <c r="B30" s="4" t="s">
        <v>35</v>
      </c>
      <c r="C30" s="4">
        <v>78</v>
      </c>
    </row>
    <row r="31" spans="1:3">
      <c r="A31" s="4" t="s">
        <v>52</v>
      </c>
      <c r="B31" s="4" t="s">
        <v>48</v>
      </c>
      <c r="C31" s="4">
        <v>75</v>
      </c>
    </row>
    <row r="32" spans="1:3">
      <c r="A32" s="4" t="s">
        <v>33</v>
      </c>
      <c r="B32" s="4" t="s">
        <v>41</v>
      </c>
      <c r="C32" s="4">
        <v>72</v>
      </c>
    </row>
    <row r="33" spans="1:4">
      <c r="A33" s="4" t="s">
        <v>42</v>
      </c>
      <c r="B33" s="4" t="s">
        <v>48</v>
      </c>
      <c r="C33" s="4">
        <v>65</v>
      </c>
    </row>
    <row r="34" spans="1:4">
      <c r="A34" s="4" t="s">
        <v>45</v>
      </c>
      <c r="B34" s="4" t="s">
        <v>35</v>
      </c>
      <c r="C34" s="4">
        <v>62</v>
      </c>
    </row>
    <row r="38" spans="1:4">
      <c r="A38" s="8"/>
      <c r="B38" s="8"/>
      <c r="C38" s="8"/>
      <c r="D38" s="8"/>
    </row>
    <row r="39" spans="1:4">
      <c r="A39" s="7"/>
      <c r="B39" s="7"/>
      <c r="C39" s="7"/>
      <c r="D39" s="8"/>
    </row>
    <row r="40" spans="1:4">
      <c r="A40" s="8"/>
      <c r="B40" s="8"/>
      <c r="C40" s="8"/>
      <c r="D40" s="8"/>
    </row>
    <row r="41" spans="1:4">
      <c r="A41" s="8"/>
      <c r="B41" s="12"/>
      <c r="C41" s="8"/>
      <c r="D41" s="8"/>
    </row>
    <row r="42" spans="1:4">
      <c r="A42" s="8"/>
      <c r="B42" s="8"/>
      <c r="C42" s="8"/>
      <c r="D42" s="8"/>
    </row>
    <row r="43" spans="1:4">
      <c r="A43" s="8"/>
      <c r="B43" s="12"/>
      <c r="C43" s="8"/>
      <c r="D43" s="8"/>
    </row>
    <row r="44" spans="1:4">
      <c r="A44" s="8"/>
      <c r="B44" s="8"/>
      <c r="C44" s="8"/>
      <c r="D44" s="8"/>
    </row>
    <row r="45" spans="1:4">
      <c r="A45" s="8"/>
      <c r="B45" s="12"/>
      <c r="C45" s="8"/>
      <c r="D45" s="8"/>
    </row>
    <row r="46" spans="1:4">
      <c r="A46" s="8"/>
      <c r="B46" s="8"/>
      <c r="C46" s="8"/>
      <c r="D46" s="8"/>
    </row>
    <row r="47" spans="1:4">
      <c r="A47" s="8"/>
      <c r="B47" s="12"/>
      <c r="C47" s="8"/>
      <c r="D47" s="8"/>
    </row>
  </sheetData>
  <autoFilter ref="F1:I10" xr:uid="{3B1CCD2C-9537-45CE-A784-271057ABBAFE}"/>
  <sortState xmlns:xlrd2="http://schemas.microsoft.com/office/spreadsheetml/2017/richdata2" ref="F3:I10">
    <sortCondition ref="H3:H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46FE-76A6-4693-8E81-279879874BCE}">
  <sheetPr filterMode="1"/>
  <dimension ref="A1:E9"/>
  <sheetViews>
    <sheetView workbookViewId="0">
      <selection activeCell="F26" sqref="F26"/>
    </sheetView>
  </sheetViews>
  <sheetFormatPr defaultRowHeight="15"/>
  <cols>
    <col min="1" max="1" width="12.85546875" customWidth="1"/>
  </cols>
  <sheetData>
    <row r="1" spans="1:5">
      <c r="A1" s="1" t="s">
        <v>53</v>
      </c>
      <c r="B1" s="1" t="s">
        <v>25</v>
      </c>
      <c r="C1" s="1" t="s">
        <v>24</v>
      </c>
      <c r="D1" s="5" t="s">
        <v>10</v>
      </c>
      <c r="E1" s="1" t="s">
        <v>32</v>
      </c>
    </row>
    <row r="2" spans="1:5">
      <c r="A2" s="4" t="s">
        <v>28</v>
      </c>
      <c r="B2" s="4">
        <v>91</v>
      </c>
      <c r="C2" s="4" t="s">
        <v>37</v>
      </c>
      <c r="D2" t="s">
        <v>54</v>
      </c>
      <c r="E2" t="s">
        <v>48</v>
      </c>
    </row>
    <row r="3" spans="1:5">
      <c r="A3" s="4" t="s">
        <v>47</v>
      </c>
      <c r="B3" s="4">
        <v>85</v>
      </c>
      <c r="C3" s="4" t="s">
        <v>29</v>
      </c>
      <c r="D3" t="s">
        <v>54</v>
      </c>
      <c r="E3" t="s">
        <v>48</v>
      </c>
    </row>
    <row r="4" spans="1:5">
      <c r="A4" s="4" t="s">
        <v>33</v>
      </c>
      <c r="B4" s="4">
        <v>78</v>
      </c>
      <c r="C4" s="4" t="s">
        <v>43</v>
      </c>
      <c r="D4" t="s">
        <v>54</v>
      </c>
      <c r="E4" t="s">
        <v>48</v>
      </c>
    </row>
    <row r="5" spans="1:5">
      <c r="A5" s="4" t="s">
        <v>33</v>
      </c>
      <c r="B5" s="4">
        <v>42</v>
      </c>
      <c r="C5" s="4" t="s">
        <v>43</v>
      </c>
      <c r="D5" t="s">
        <v>55</v>
      </c>
      <c r="E5" t="s">
        <v>41</v>
      </c>
    </row>
    <row r="6" spans="1:5">
      <c r="A6" s="4" t="s">
        <v>42</v>
      </c>
      <c r="B6" s="4">
        <v>35</v>
      </c>
      <c r="C6" s="4" t="s">
        <v>56</v>
      </c>
      <c r="D6" t="s">
        <v>55</v>
      </c>
      <c r="E6" t="s">
        <v>41</v>
      </c>
    </row>
    <row r="7" spans="1:5">
      <c r="A7" s="4" t="s">
        <v>28</v>
      </c>
      <c r="B7" s="4">
        <v>54</v>
      </c>
      <c r="C7" s="4" t="s">
        <v>37</v>
      </c>
      <c r="D7" t="s">
        <v>54</v>
      </c>
      <c r="E7" t="s">
        <v>41</v>
      </c>
    </row>
    <row r="8" spans="1:5">
      <c r="A8" s="4" t="s">
        <v>36</v>
      </c>
      <c r="B8" s="4">
        <v>95</v>
      </c>
      <c r="C8" s="4" t="s">
        <v>34</v>
      </c>
      <c r="D8" t="s">
        <v>57</v>
      </c>
      <c r="E8" t="s">
        <v>35</v>
      </c>
    </row>
    <row r="9" spans="1:5">
      <c r="A9" s="4" t="s">
        <v>47</v>
      </c>
      <c r="B9" s="4">
        <v>67</v>
      </c>
      <c r="C9" s="4" t="s">
        <v>29</v>
      </c>
      <c r="D9" t="s">
        <v>57</v>
      </c>
      <c r="E9" s="6" t="s">
        <v>35</v>
      </c>
    </row>
  </sheetData>
  <autoFilter ref="A2:E9" xr:uid="{8FC146FE-76A6-4693-8E81-279879874BCE}"/>
  <sortState xmlns:xlrd2="http://schemas.microsoft.com/office/spreadsheetml/2017/richdata2" ref="A2:E9">
    <sortCondition descending="1" ref="E2:E9"/>
  </sortState>
  <conditionalFormatting sqref="B2:B9">
    <cfRule type="cellIs" dxfId="23" priority="25" operator="greaterThan">
      <formula>70</formula>
    </cfRule>
  </conditionalFormatting>
  <conditionalFormatting sqref="B2:B9">
    <cfRule type="cellIs" dxfId="22" priority="24" operator="lessThan">
      <formula>60</formula>
    </cfRule>
  </conditionalFormatting>
  <conditionalFormatting sqref="C2:C4">
    <cfRule type="duplicateValues" dxfId="21" priority="23"/>
  </conditionalFormatting>
  <conditionalFormatting sqref="C2:C9">
    <cfRule type="duplicateValues" dxfId="20" priority="22"/>
  </conditionalFormatting>
  <conditionalFormatting sqref="C6">
    <cfRule type="notContainsBlanks" dxfId="19" priority="20">
      <formula>LEN(TRIM(C6))&gt;0</formula>
    </cfRule>
  </conditionalFormatting>
  <conditionalFormatting sqref="B2:B9">
    <cfRule type="cellIs" dxfId="18" priority="19" operator="between">
      <formula>40</formula>
      <formula>70</formula>
    </cfRule>
  </conditionalFormatting>
  <conditionalFormatting sqref="B2:B9">
    <cfRule type="top10" dxfId="17" priority="18" rank="3"/>
  </conditionalFormatting>
  <conditionalFormatting sqref="B2:B9">
    <cfRule type="top10" dxfId="16" priority="17" percent="1" rank="3"/>
  </conditionalFormatting>
  <conditionalFormatting sqref="B2:B9">
    <cfRule type="top10" dxfId="15" priority="16" bottom="1" rank="3"/>
  </conditionalFormatting>
  <conditionalFormatting sqref="B2:B10">
    <cfRule type="aboveAverage" dxfId="14" priority="15"/>
  </conditionalFormatting>
  <conditionalFormatting sqref="B2:B9">
    <cfRule type="aboveAverage" dxfId="13" priority="14" aboveAverage="0"/>
  </conditionalFormatting>
  <conditionalFormatting sqref="D2:D9">
    <cfRule type="containsText" dxfId="12" priority="13" operator="containsText" text="Pass">
      <formula>NOT(ISERROR(SEARCH("Pass",D2)))</formula>
    </cfRule>
  </conditionalFormatting>
  <conditionalFormatting sqref="B2:D9">
    <cfRule type="notContainsBlanks" dxfId="11" priority="12">
      <formula>LEN(TRIM(B2))&gt;0</formula>
    </cfRule>
  </conditionalFormatting>
  <conditionalFormatting sqref="A12">
    <cfRule type="notContainsBlanks" dxfId="10" priority="11">
      <formula>LEN(TRIM(A12))&gt;0</formula>
    </cfRule>
  </conditionalFormatting>
  <conditionalFormatting sqref="C2:C9">
    <cfRule type="duplicateValues" dxfId="9" priority="10"/>
  </conditionalFormatting>
  <conditionalFormatting sqref="D2:D9">
    <cfRule type="cellIs" dxfId="8" priority="8" operator="between">
      <formula>"Fail"</formula>
      <formula>"Pending"</formula>
    </cfRule>
  </conditionalFormatting>
  <conditionalFormatting sqref="D2:D9">
    <cfRule type="containsText" dxfId="7" priority="7" operator="containsText" text="Pass">
      <formula>NOT(ISERROR(SEARCH("Pass",D2)))</formula>
    </cfRule>
  </conditionalFormatting>
  <conditionalFormatting sqref="D2:D9">
    <cfRule type="containsText" dxfId="6" priority="6" operator="containsText" text="Pending">
      <formula>NOT(ISERROR(SEARCH("Pending",D2)))</formula>
    </cfRule>
  </conditionalFormatting>
  <conditionalFormatting sqref="B2:B9">
    <cfRule type="cellIs" dxfId="5" priority="5" operator="greaterThan">
      <formula>70</formula>
    </cfRule>
  </conditionalFormatting>
  <conditionalFormatting sqref="B2:B9">
    <cfRule type="colorScale" priority="4">
      <colorScale>
        <cfvo type="min"/>
        <cfvo type="max"/>
        <color rgb="FFFCFCFF"/>
        <color rgb="FFF8696B"/>
      </colorScale>
    </cfRule>
  </conditionalFormatting>
  <conditionalFormatting sqref="A2:A9">
    <cfRule type="containsText" dxfId="4" priority="3" operator="containsText" text="p">
      <formula>NOT(ISERROR(SEARCH("p",A2)))</formula>
    </cfRule>
  </conditionalFormatting>
  <conditionalFormatting sqref="E2:E9">
    <cfRule type="containsText" dxfId="3" priority="2" operator="containsText" text="HR">
      <formula>NOT(ISERROR(SEARCH("HR",E2)))</formula>
    </cfRule>
  </conditionalFormatting>
  <conditionalFormatting sqref="A2:A9">
    <cfRule type="duplicateValues" dxfId="2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operator="containsText" id="{70DCC006-CCDD-4823-97E9-BE6ACFCBC50A}">
            <xm:f>NOT(ISERROR(SEARCH($C$8,C2)))</xm:f>
            <xm:f>$C$8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C2:C9</xm:sqref>
        </x14:conditionalFormatting>
        <x14:conditionalFormatting xmlns:xm="http://schemas.microsoft.com/office/excel/2006/main">
          <x14:cfRule type="containsText" priority="9" operator="containsText" id="{2451DBDD-A646-407C-960C-1A10D33F9C77}">
            <xm:f>NOT(ISERROR(SEARCH($C$6,C6)))</xm:f>
            <xm:f>$C$6</xm:f>
            <x14:dxf>
              <font>
                <color rgb="FF00B050"/>
              </font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1802-38C4-4B65-A2E8-BFD9AB489BCB}">
  <sheetPr filterMode="1"/>
  <dimension ref="A1:E69"/>
  <sheetViews>
    <sheetView tabSelected="1" workbookViewId="0">
      <selection activeCell="E38" sqref="E38"/>
    </sheetView>
  </sheetViews>
  <sheetFormatPr defaultRowHeight="15"/>
  <cols>
    <col min="1" max="1" width="10.42578125" customWidth="1"/>
    <col min="2" max="2" width="15.28515625" customWidth="1"/>
    <col min="3" max="3" width="11.28515625" customWidth="1"/>
  </cols>
  <sheetData>
    <row r="1" spans="1:5">
      <c r="A1" s="9" t="s">
        <v>58</v>
      </c>
    </row>
    <row r="2" spans="1:5">
      <c r="A2" s="1"/>
      <c r="B2" s="1"/>
      <c r="C2" s="1"/>
      <c r="D2" s="1"/>
    </row>
    <row r="3" spans="1:5">
      <c r="A3" s="11" t="s">
        <v>23</v>
      </c>
      <c r="B3" s="11" t="s">
        <v>32</v>
      </c>
      <c r="C3" s="11" t="s">
        <v>24</v>
      </c>
      <c r="D3" s="11" t="s">
        <v>25</v>
      </c>
    </row>
    <row r="4" spans="1:5">
      <c r="A4" s="4" t="s">
        <v>47</v>
      </c>
      <c r="B4" s="4" t="s">
        <v>48</v>
      </c>
      <c r="C4" s="4" t="s">
        <v>29</v>
      </c>
      <c r="D4" s="4">
        <v>85</v>
      </c>
    </row>
    <row r="5" spans="1:5">
      <c r="A5" s="4" t="s">
        <v>33</v>
      </c>
      <c r="B5" s="4" t="s">
        <v>41</v>
      </c>
      <c r="C5" s="4" t="s">
        <v>43</v>
      </c>
      <c r="D5" s="4">
        <v>72</v>
      </c>
    </row>
    <row r="6" spans="1:5">
      <c r="A6" s="4" t="s">
        <v>28</v>
      </c>
      <c r="B6" s="4" t="s">
        <v>48</v>
      </c>
      <c r="C6" s="4" t="s">
        <v>37</v>
      </c>
      <c r="D6" s="4">
        <v>91</v>
      </c>
    </row>
    <row r="7" spans="1:5">
      <c r="A7" s="4" t="s">
        <v>40</v>
      </c>
      <c r="B7" s="4" t="s">
        <v>35</v>
      </c>
      <c r="C7" s="4" t="s">
        <v>29</v>
      </c>
      <c r="D7" s="4">
        <v>64</v>
      </c>
      <c r="E7" s="1"/>
    </row>
    <row r="8" spans="1:5">
      <c r="A8" s="4" t="s">
        <v>42</v>
      </c>
      <c r="B8" s="4" t="s">
        <v>41</v>
      </c>
      <c r="C8" s="4" t="s">
        <v>56</v>
      </c>
      <c r="D8" s="4">
        <v>78</v>
      </c>
    </row>
    <row r="9" spans="1:5">
      <c r="A9" s="4" t="s">
        <v>38</v>
      </c>
      <c r="B9" s="4" t="s">
        <v>48</v>
      </c>
      <c r="C9" s="4" t="s">
        <v>29</v>
      </c>
      <c r="D9" s="4">
        <v>55</v>
      </c>
    </row>
    <row r="10" spans="1:5">
      <c r="A10" s="4" t="s">
        <v>36</v>
      </c>
      <c r="B10" s="4" t="s">
        <v>35</v>
      </c>
      <c r="C10" s="4" t="s">
        <v>43</v>
      </c>
      <c r="D10" s="4">
        <v>88</v>
      </c>
    </row>
    <row r="11" spans="1:5">
      <c r="A11" s="4" t="s">
        <v>45</v>
      </c>
      <c r="B11" s="4" t="s">
        <v>41</v>
      </c>
      <c r="C11" s="4" t="s">
        <v>37</v>
      </c>
      <c r="D11" s="4">
        <v>69</v>
      </c>
    </row>
    <row r="18" spans="1:3">
      <c r="A18" t="s">
        <v>59</v>
      </c>
    </row>
    <row r="19" spans="1:3">
      <c r="A19" t="s">
        <v>60</v>
      </c>
    </row>
    <row r="21" spans="1:3">
      <c r="A21" s="11" t="s">
        <v>23</v>
      </c>
      <c r="B21" s="11" t="s">
        <v>32</v>
      </c>
      <c r="C21" s="11" t="s">
        <v>25</v>
      </c>
    </row>
    <row r="22" spans="1:3">
      <c r="A22" s="4" t="s">
        <v>47</v>
      </c>
      <c r="B22" s="4" t="s">
        <v>48</v>
      </c>
      <c r="C22" s="4">
        <v>85</v>
      </c>
    </row>
    <row r="23" spans="1:3">
      <c r="A23" s="4" t="s">
        <v>33</v>
      </c>
      <c r="B23" s="4" t="s">
        <v>41</v>
      </c>
      <c r="C23" s="4">
        <v>42</v>
      </c>
    </row>
    <row r="24" spans="1:3">
      <c r="A24" s="4" t="s">
        <v>28</v>
      </c>
      <c r="B24" s="4" t="s">
        <v>48</v>
      </c>
      <c r="C24" s="4">
        <v>91</v>
      </c>
    </row>
    <row r="25" spans="1:3">
      <c r="A25" s="4" t="s">
        <v>40</v>
      </c>
      <c r="B25" s="4" t="s">
        <v>35</v>
      </c>
      <c r="C25" s="4">
        <v>64</v>
      </c>
    </row>
    <row r="26" spans="1:3">
      <c r="A26" s="4" t="s">
        <v>42</v>
      </c>
      <c r="B26" s="4" t="s">
        <v>41</v>
      </c>
      <c r="C26" s="4">
        <v>78</v>
      </c>
    </row>
    <row r="27" spans="1:3">
      <c r="A27" s="4" t="s">
        <v>38</v>
      </c>
      <c r="B27" s="4" t="s">
        <v>48</v>
      </c>
      <c r="C27" s="4">
        <v>55</v>
      </c>
    </row>
    <row r="28" spans="1:3">
      <c r="A28" s="4" t="s">
        <v>36</v>
      </c>
      <c r="B28" s="4" t="s">
        <v>35</v>
      </c>
      <c r="C28" s="4">
        <v>88</v>
      </c>
    </row>
    <row r="29" spans="1:3">
      <c r="A29" s="4" t="s">
        <v>45</v>
      </c>
      <c r="B29" s="4" t="s">
        <v>41</v>
      </c>
      <c r="C29" s="4">
        <v>69</v>
      </c>
    </row>
    <row r="32" spans="1:3" ht="18">
      <c r="A32" s="16" t="s">
        <v>61</v>
      </c>
    </row>
    <row r="34" spans="1:4">
      <c r="A34" s="11" t="s">
        <v>23</v>
      </c>
      <c r="B34" s="11" t="s">
        <v>32</v>
      </c>
      <c r="C34" s="11" t="s">
        <v>24</v>
      </c>
      <c r="D34" s="11" t="s">
        <v>25</v>
      </c>
    </row>
    <row r="35" spans="1:4">
      <c r="A35" s="4" t="s">
        <v>47</v>
      </c>
      <c r="B35" s="4" t="s">
        <v>48</v>
      </c>
      <c r="C35" s="4" t="s">
        <v>29</v>
      </c>
      <c r="D35" s="4">
        <v>85</v>
      </c>
    </row>
    <row r="36" spans="1:4">
      <c r="A36" s="4" t="s">
        <v>33</v>
      </c>
      <c r="B36" s="4" t="s">
        <v>41</v>
      </c>
      <c r="C36" s="4" t="s">
        <v>43</v>
      </c>
      <c r="D36" s="4">
        <v>72</v>
      </c>
    </row>
    <row r="37" spans="1:4">
      <c r="A37" s="4" t="s">
        <v>28</v>
      </c>
      <c r="B37" s="4" t="s">
        <v>48</v>
      </c>
      <c r="C37" s="4" t="s">
        <v>37</v>
      </c>
      <c r="D37" s="4">
        <v>91</v>
      </c>
    </row>
    <row r="38" spans="1:4">
      <c r="A38" s="4" t="s">
        <v>40</v>
      </c>
      <c r="B38" s="4" t="s">
        <v>35</v>
      </c>
      <c r="C38" s="4" t="s">
        <v>29</v>
      </c>
      <c r="D38" s="4">
        <v>64</v>
      </c>
    </row>
    <row r="39" spans="1:4">
      <c r="A39" s="4" t="s">
        <v>42</v>
      </c>
      <c r="B39" s="4" t="s">
        <v>41</v>
      </c>
      <c r="C39" s="4" t="s">
        <v>56</v>
      </c>
      <c r="D39" s="4">
        <v>78</v>
      </c>
    </row>
    <row r="40" spans="1:4">
      <c r="A40" s="4" t="s">
        <v>38</v>
      </c>
      <c r="B40" s="4" t="s">
        <v>48</v>
      </c>
      <c r="C40" s="4" t="s">
        <v>29</v>
      </c>
      <c r="D40" s="4">
        <v>55</v>
      </c>
    </row>
    <row r="41" spans="1:4">
      <c r="A41" s="4" t="s">
        <v>36</v>
      </c>
      <c r="B41" s="4" t="s">
        <v>35</v>
      </c>
      <c r="C41" s="4" t="s">
        <v>43</v>
      </c>
      <c r="D41" s="4">
        <v>88</v>
      </c>
    </row>
    <row r="42" spans="1:4">
      <c r="A42" s="4" t="s">
        <v>45</v>
      </c>
      <c r="B42" s="4" t="s">
        <v>41</v>
      </c>
      <c r="C42" s="4" t="s">
        <v>37</v>
      </c>
      <c r="D42" s="4">
        <v>69</v>
      </c>
    </row>
    <row r="46" spans="1:4">
      <c r="A46" s="1" t="s">
        <v>62</v>
      </c>
    </row>
    <row r="48" spans="1:4">
      <c r="A48" s="11" t="s">
        <v>23</v>
      </c>
      <c r="B48" s="11" t="s">
        <v>32</v>
      </c>
      <c r="C48" s="11" t="s">
        <v>24</v>
      </c>
      <c r="D48" s="11" t="s">
        <v>10</v>
      </c>
    </row>
    <row r="49" spans="1:4">
      <c r="A49" s="4" t="s">
        <v>47</v>
      </c>
      <c r="B49" s="4" t="s">
        <v>48</v>
      </c>
      <c r="C49" s="4" t="s">
        <v>29</v>
      </c>
      <c r="D49" s="4" t="s">
        <v>54</v>
      </c>
    </row>
    <row r="50" spans="1:4">
      <c r="A50" s="4" t="s">
        <v>33</v>
      </c>
      <c r="B50" s="4" t="s">
        <v>41</v>
      </c>
      <c r="C50" s="4" t="s">
        <v>43</v>
      </c>
      <c r="D50" s="4" t="s">
        <v>55</v>
      </c>
    </row>
    <row r="51" spans="1:4">
      <c r="A51" s="4" t="s">
        <v>28</v>
      </c>
      <c r="B51" s="4" t="s">
        <v>48</v>
      </c>
      <c r="C51" s="4" t="s">
        <v>37</v>
      </c>
      <c r="D51" s="4" t="s">
        <v>54</v>
      </c>
    </row>
    <row r="52" spans="1:4">
      <c r="A52" s="4" t="s">
        <v>40</v>
      </c>
      <c r="B52" s="4" t="s">
        <v>35</v>
      </c>
      <c r="C52" s="4" t="s">
        <v>29</v>
      </c>
      <c r="D52" s="4" t="s">
        <v>57</v>
      </c>
    </row>
    <row r="53" spans="1:4">
      <c r="A53" s="4" t="s">
        <v>42</v>
      </c>
      <c r="B53" s="4" t="s">
        <v>41</v>
      </c>
      <c r="C53" s="4" t="s">
        <v>56</v>
      </c>
      <c r="D53" s="4" t="s">
        <v>54</v>
      </c>
    </row>
    <row r="54" spans="1:4">
      <c r="A54" s="4" t="s">
        <v>38</v>
      </c>
      <c r="B54" s="4" t="s">
        <v>48</v>
      </c>
      <c r="C54" s="4" t="s">
        <v>29</v>
      </c>
      <c r="D54" s="4" t="s">
        <v>55</v>
      </c>
    </row>
    <row r="55" spans="1:4">
      <c r="A55" s="4" t="s">
        <v>36</v>
      </c>
      <c r="B55" s="4" t="s">
        <v>35</v>
      </c>
      <c r="C55" s="4" t="s">
        <v>43</v>
      </c>
      <c r="D55" s="4" t="s">
        <v>54</v>
      </c>
    </row>
    <row r="56" spans="1:4">
      <c r="A56" s="4" t="s">
        <v>45</v>
      </c>
      <c r="B56" s="4" t="s">
        <v>41</v>
      </c>
      <c r="C56" s="4" t="s">
        <v>37</v>
      </c>
      <c r="D56" s="4" t="s">
        <v>57</v>
      </c>
    </row>
    <row r="59" spans="1:4">
      <c r="A59" s="1" t="s">
        <v>63</v>
      </c>
    </row>
    <row r="61" spans="1:4">
      <c r="A61" s="11" t="s">
        <v>30</v>
      </c>
      <c r="B61" s="11" t="s">
        <v>31</v>
      </c>
      <c r="C61" s="11" t="s">
        <v>32</v>
      </c>
    </row>
    <row r="62" spans="1:4">
      <c r="A62" s="4" t="s">
        <v>47</v>
      </c>
      <c r="B62" s="4" t="s">
        <v>44</v>
      </c>
      <c r="C62" s="4" t="s">
        <v>48</v>
      </c>
    </row>
    <row r="63" spans="1:4" hidden="1">
      <c r="A63" s="4" t="s">
        <v>33</v>
      </c>
      <c r="B63" s="17">
        <v>44987</v>
      </c>
      <c r="C63" s="4" t="s">
        <v>41</v>
      </c>
    </row>
    <row r="64" spans="1:4" hidden="1">
      <c r="A64" s="4" t="s">
        <v>28</v>
      </c>
      <c r="B64" s="4" t="s">
        <v>49</v>
      </c>
      <c r="C64" s="4" t="s">
        <v>35</v>
      </c>
    </row>
    <row r="65" spans="1:3" hidden="1">
      <c r="A65" s="4" t="s">
        <v>40</v>
      </c>
      <c r="B65" s="17">
        <v>44840</v>
      </c>
      <c r="C65" s="4" t="s">
        <v>48</v>
      </c>
    </row>
    <row r="66" spans="1:3" hidden="1">
      <c r="A66" s="4" t="s">
        <v>42</v>
      </c>
      <c r="B66" s="4" t="s">
        <v>39</v>
      </c>
      <c r="C66" s="4" t="s">
        <v>41</v>
      </c>
    </row>
    <row r="67" spans="1:3" hidden="1">
      <c r="A67" s="4" t="s">
        <v>38</v>
      </c>
      <c r="B67" s="17">
        <v>45055</v>
      </c>
      <c r="C67" s="4" t="s">
        <v>35</v>
      </c>
    </row>
    <row r="68" spans="1:3" hidden="1">
      <c r="A68" s="4" t="s">
        <v>36</v>
      </c>
      <c r="B68" s="4" t="s">
        <v>46</v>
      </c>
      <c r="C68" s="4" t="s">
        <v>48</v>
      </c>
    </row>
    <row r="69" spans="1:3" hidden="1">
      <c r="A69" s="4" t="s">
        <v>45</v>
      </c>
      <c r="B69" s="17">
        <v>45272</v>
      </c>
      <c r="C69" s="4" t="s">
        <v>41</v>
      </c>
    </row>
  </sheetData>
  <autoFilter ref="A61:C69" xr:uid="{FC541802-38C4-4B65-A2E8-BFD9AB489BCB}">
    <filterColumn colId="1">
      <filters>
        <filter val="15-08-202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2026-08-22T02:38:41Z</dcterms:created>
  <dcterms:modified xsi:type="dcterms:W3CDTF">2026-08-26T04:40:48Z</dcterms:modified>
  <cp:category/>
  <cp:contentStatus/>
</cp:coreProperties>
</file>