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13"/>
  <workbookPr defaultThemeVersion="166925"/>
  <xr:revisionPtr revIDLastSave="0" documentId="8_{E925C840-7D2C-412A-8826-8531C2F5909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4" i="1" l="1"/>
  <c r="H6" i="1"/>
  <c r="H8" i="1"/>
  <c r="H10" i="1"/>
  <c r="H11" i="1"/>
  <c r="G3" i="1" a="1"/>
  <c r="G3" i="1"/>
  <c r="H3" i="1" s="1"/>
  <c r="G5" i="1" a="1"/>
  <c r="G5" i="1"/>
  <c r="H5" i="1" s="1"/>
  <c r="G7" i="1" a="1"/>
  <c r="G7" i="1"/>
  <c r="H7" i="1" s="1"/>
  <c r="G9" i="1" a="1"/>
  <c r="G9" i="1"/>
  <c r="H9" i="1" s="1"/>
  <c r="G10" i="1" a="1"/>
  <c r="G10" i="1"/>
  <c r="G11" i="1" a="1"/>
  <c r="G11" i="1"/>
  <c r="G2" i="1" a="1"/>
  <c r="G2" i="1"/>
  <c r="H2" i="1" s="1"/>
  <c r="E3" i="2"/>
  <c r="E4" i="2"/>
  <c r="E5" i="2"/>
  <c r="E6" i="2"/>
  <c r="E2" i="2"/>
  <c r="F2" i="1"/>
  <c r="F3" i="1"/>
  <c r="F4" i="1"/>
  <c r="F5" i="1"/>
  <c r="F6" i="1"/>
  <c r="F7" i="1"/>
  <c r="F8" i="1"/>
  <c r="F9" i="1"/>
  <c r="F10" i="1"/>
  <c r="F1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<sst xmlns="http://schemas.openxmlformats.org/spreadsheetml/2006/main" count="28" uniqueCount="24">
  <si>
    <t>SR.no</t>
  </si>
  <si>
    <t>Name of Student</t>
  </si>
  <si>
    <t>Sub 1</t>
  </si>
  <si>
    <t>Sub 2</t>
  </si>
  <si>
    <t>Sub 3</t>
  </si>
  <si>
    <t>Result</t>
  </si>
  <si>
    <t>%Age</t>
  </si>
  <si>
    <t>Grade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</si>
  <si>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</si>
  <si>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</si>
  <si>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</si>
  <si>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</si>
  <si>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</si>
  <si>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</si>
  <si>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</si>
  <si>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</si>
  <si>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</si>
  <si>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</si>
  <si>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Sr.no</t>
  </si>
  <si>
    <t>Emp</t>
  </si>
  <si>
    <t>Days</t>
  </si>
  <si>
    <t>Performance</t>
  </si>
  <si>
    <t>Promotion:yes/no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</si>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</sst>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2" borderId="1" xfId="0" applyFont="1" applyFill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tabSelected="1" workbookViewId="0">
      <selection activeCell="G9" sqref="G9"/>
    </sheetView>
  </sheetViews>
  <sheetFormatPr defaultRowHeight="15"/>
  <cols>
    <col min="2" max="2" width="16.140625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8" t="s">
        <v>4</v>
      </c>
      <c r="F1" s="8" t="s">
        <v>5</v>
      </c>
      <c r="G1" s="1" t="s">
        <v>6</v>
      </c>
      <c r="H1" s="1" t="s">
        <v>7</v>
      </c>
    </row>
    <row r="2" spans="1:8">
      <c r="A2" s="9">
        <v>1</v>
      </c>
      <c r="B2" s="9" t="s">
        <v>8</v>
      </c>
      <c r="C2" s="9">
        <v>54</v>
      </c>
      <c r="D2" s="9">
        <v>90</v>
      </c>
      <c r="E2" s="9">
        <v>90</v>
      </c>
      <c r="F2" s="9" t="str">
        <f>IF(AND(C2&gt;=35,D2&gt;=35,E2&gt;=35),"Pass","Fail")</f>
        <v>Pass</v>
      </c>
      <c r="G2" s="7" cm="1">
        <f t="array" ref="G2">SUM(C2:E2/300*100)</f>
        <v>78</v>
      </c>
      <c r="H2" t="str">
        <f>IF(G2&gt;=95,"A++",IF(G2&gt;=90,"A",IF(G2&gt;=85,"B",IF(G2&gt;=80,"C","Fail"))))</f>
        <v>Fail</v>
      </c>
    </row>
    <row r="3" spans="1:8">
      <c r="A3" s="9">
        <v>2</v>
      </c>
      <c r="B3" s="9" t="s">
        <v>9</v>
      </c>
      <c r="C3" s="9">
        <v>62</v>
      </c>
      <c r="D3" s="9">
        <v>95</v>
      </c>
      <c r="E3" s="9">
        <v>30</v>
      </c>
      <c r="F3" s="9" t="str">
        <f t="shared" ref="F3:F11" si="0">IF(AND(C3&gt;=35,D3&gt;=35,E3&gt;=35),"Pass","Fail")</f>
        <v>Fail</v>
      </c>
      <c r="G3" s="7" cm="1">
        <f t="array" ref="G3">SUM(C3:E3/300*100)</f>
        <v>62.333333333333329</v>
      </c>
      <c r="H3" t="str">
        <f t="shared" ref="H3:H11" si="1">IF(G3&gt;=95,"A++",IF(G3&gt;=90,"A",IF(G3&gt;=85,"B",IF(G3&gt;=80,"C","Fail"))))</f>
        <v>Fail</v>
      </c>
    </row>
    <row r="4" spans="1:8">
      <c r="A4" s="9">
        <v>3</v>
      </c>
      <c r="B4" s="9" t="s">
        <v>10</v>
      </c>
      <c r="C4" s="9">
        <v>94</v>
      </c>
      <c r="D4" s="9">
        <v>45</v>
      </c>
      <c r="E4" s="9">
        <v>90</v>
      </c>
      <c r="F4" s="9" t="str">
        <f t="shared" si="0"/>
        <v>Pass</v>
      </c>
      <c r="G4" s="7">
        <v>95</v>
      </c>
      <c r="H4" t="str">
        <f t="shared" si="1"/>
        <v>A++</v>
      </c>
    </row>
    <row r="5" spans="1:8">
      <c r="A5" s="9">
        <v>4</v>
      </c>
      <c r="B5" s="9" t="s">
        <v>11</v>
      </c>
      <c r="C5" s="9">
        <v>33</v>
      </c>
      <c r="D5" s="9">
        <v>10</v>
      </c>
      <c r="E5" s="9">
        <v>95</v>
      </c>
      <c r="F5" s="9" t="str">
        <f t="shared" si="0"/>
        <v>Fail</v>
      </c>
      <c r="G5" s="7" cm="1">
        <f t="array" ref="G5">SUM(C5:E5/300*100)</f>
        <v>46</v>
      </c>
      <c r="H5" t="str">
        <f t="shared" si="1"/>
        <v>Fail</v>
      </c>
    </row>
    <row r="6" spans="1:8">
      <c r="A6" s="9">
        <v>5</v>
      </c>
      <c r="B6" s="9" t="s">
        <v>12</v>
      </c>
      <c r="C6" s="9">
        <v>95</v>
      </c>
      <c r="D6" s="9">
        <v>65</v>
      </c>
      <c r="E6" s="9">
        <v>97</v>
      </c>
      <c r="F6" s="9" t="str">
        <f t="shared" si="0"/>
        <v>Pass</v>
      </c>
      <c r="G6" s="7">
        <v>75</v>
      </c>
      <c r="H6" t="str">
        <f t="shared" si="1"/>
        <v>Fail</v>
      </c>
    </row>
    <row r="7" spans="1:8">
      <c r="A7" s="9">
        <v>6</v>
      </c>
      <c r="B7" s="9" t="s">
        <v>13</v>
      </c>
      <c r="C7" s="9">
        <v>64</v>
      </c>
      <c r="D7" s="9">
        <v>99</v>
      </c>
      <c r="E7" s="9">
        <v>99</v>
      </c>
      <c r="F7" s="9" t="str">
        <f t="shared" si="0"/>
        <v>Pass</v>
      </c>
      <c r="G7" s="7" cm="1">
        <f t="array" ref="G7">SUM(C7:E7/300*100)</f>
        <v>87.333333333333343</v>
      </c>
      <c r="H7" t="str">
        <f t="shared" si="1"/>
        <v>B</v>
      </c>
    </row>
    <row r="8" spans="1:8">
      <c r="A8" s="9">
        <v>7</v>
      </c>
      <c r="B8" s="9" t="s">
        <v>14</v>
      </c>
      <c r="C8" s="9">
        <v>46</v>
      </c>
      <c r="D8" s="9">
        <v>35</v>
      </c>
      <c r="E8" s="9">
        <v>47</v>
      </c>
      <c r="F8" s="9" t="str">
        <f t="shared" si="0"/>
        <v>Pass</v>
      </c>
      <c r="G8" s="7">
        <v>96</v>
      </c>
      <c r="H8" t="str">
        <f t="shared" si="1"/>
        <v>A++</v>
      </c>
    </row>
    <row r="9" spans="1:8">
      <c r="A9" s="9">
        <v>8</v>
      </c>
      <c r="B9" s="9" t="s">
        <v>15</v>
      </c>
      <c r="C9" s="9">
        <v>99</v>
      </c>
      <c r="D9" s="9">
        <v>99</v>
      </c>
      <c r="E9" s="9">
        <v>99</v>
      </c>
      <c r="F9" s="9" t="str">
        <f t="shared" si="0"/>
        <v>Pass</v>
      </c>
      <c r="G9" s="7" cm="1">
        <f t="array" ref="G9">SUM(C9:E9/300*100)</f>
        <v>99</v>
      </c>
      <c r="H9" t="str">
        <f t="shared" si="1"/>
        <v>A++</v>
      </c>
    </row>
    <row r="10" spans="1:8">
      <c r="A10" s="9">
        <v>9</v>
      </c>
      <c r="B10" s="9" t="s">
        <v>16</v>
      </c>
      <c r="C10" s="9">
        <v>72</v>
      </c>
      <c r="D10" s="9">
        <v>45</v>
      </c>
      <c r="E10" s="9">
        <v>67</v>
      </c>
      <c r="F10" s="9" t="str">
        <f t="shared" si="0"/>
        <v>Pass</v>
      </c>
      <c r="G10" s="7" cm="1">
        <f t="array" ref="G10">SUM(C10:E10/300*100)</f>
        <v>61.333333333333329</v>
      </c>
      <c r="H10" t="str">
        <f t="shared" si="1"/>
        <v>Fail</v>
      </c>
    </row>
    <row r="11" spans="1:8">
      <c r="A11" s="9">
        <v>10</v>
      </c>
      <c r="B11" s="9" t="s">
        <v>17</v>
      </c>
      <c r="C11" s="9">
        <v>34</v>
      </c>
      <c r="D11" s="9">
        <v>36</v>
      </c>
      <c r="E11" s="9">
        <v>67</v>
      </c>
      <c r="F11" s="9" t="str">
        <f t="shared" si="0"/>
        <v>Fail</v>
      </c>
      <c r="G11" s="7" cm="1">
        <f t="array" ref="G11">SUM(C11:E11/300*100)</f>
        <v>45.666666666666664</v>
      </c>
      <c r="H11" t="str">
        <f t="shared" si="1"/>
        <v>Fail</v>
      </c>
    </row>
    <row r="12" spans="1:8">
      <c r="A12" s="9"/>
      <c r="B12" s="9"/>
      <c r="C12" s="9"/>
      <c r="D12" s="9"/>
      <c r="G12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D50FE-D096-4101-88AC-83AAAAE485D9}">
  <dimension ref="A1:E6"/>
  <sheetViews>
    <sheetView workbookViewId="0">
      <selection activeCell="E16" sqref="E16"/>
    </sheetView>
  </sheetViews>
  <sheetFormatPr defaultRowHeight="15"/>
  <cols>
    <col min="4" max="4" width="12.42578125" bestFit="1" customWidth="1"/>
    <col min="5" max="5" width="17.140625" bestFit="1" customWidth="1"/>
  </cols>
  <sheetData>
    <row r="1" spans="1:5">
      <c r="A1" s="2" t="s">
        <v>18</v>
      </c>
      <c r="B1" s="2" t="s">
        <v>19</v>
      </c>
      <c r="C1" s="2" t="s">
        <v>20</v>
      </c>
      <c r="D1" s="2" t="s">
        <v>21</v>
      </c>
      <c r="E1" s="2" t="s">
        <v>22</v>
      </c>
    </row>
    <row r="2" spans="1:5">
      <c r="A2" s="3">
        <v>1</v>
      </c>
      <c r="B2" s="4" t="s">
        <v>8</v>
      </c>
      <c r="C2" s="4">
        <v>128</v>
      </c>
      <c r="D2" s="4">
        <v>9</v>
      </c>
      <c r="E2" s="3" t="str">
        <f>IF(AND(C2&gt;=130,D2&gt;=5),"Yes","No")</f>
        <v>No</v>
      </c>
    </row>
    <row r="3" spans="1:5">
      <c r="A3" s="3">
        <v>2</v>
      </c>
      <c r="B3" s="4" t="s">
        <v>9</v>
      </c>
      <c r="C3" s="4">
        <v>145</v>
      </c>
      <c r="D3" s="4">
        <v>5</v>
      </c>
      <c r="E3" s="3" t="str">
        <f t="shared" ref="E3:E6" si="0">IF(AND(C3&gt;=130,D3&gt;=5),"Yes","No")</f>
        <v>Yes</v>
      </c>
    </row>
    <row r="4" spans="1:5">
      <c r="A4" s="3">
        <v>3</v>
      </c>
      <c r="B4" s="4" t="s">
        <v>10</v>
      </c>
      <c r="C4" s="4">
        <v>123</v>
      </c>
      <c r="D4" s="4">
        <v>6</v>
      </c>
      <c r="E4" s="3" t="str">
        <f t="shared" si="0"/>
        <v>No</v>
      </c>
    </row>
    <row r="5" spans="1:5">
      <c r="A5" s="3">
        <v>4</v>
      </c>
      <c r="B5" s="4" t="s">
        <v>23</v>
      </c>
      <c r="C5" s="4">
        <v>121</v>
      </c>
      <c r="D5" s="4">
        <v>3</v>
      </c>
      <c r="E5" s="3" t="str">
        <f t="shared" si="0"/>
        <v>No</v>
      </c>
    </row>
    <row r="6" spans="1:5">
      <c r="A6" s="5">
        <v>5</v>
      </c>
      <c r="B6" s="6" t="s">
        <v>13</v>
      </c>
      <c r="C6" s="6">
        <v>141</v>
      </c>
      <c r="D6" s="6">
        <v>4</v>
      </c>
      <c r="E6" s="5" t="str">
        <f t="shared" si="0"/>
        <v>No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2026-08-22T02:38:41Z</dcterms:created>
  <dcterms:modified xsi:type="dcterms:W3CDTF">2026-08-23T13:33:37Z</dcterms:modified>
  <cp:category/>
  <cp:contentStatus/>
</cp:coreProperties>
</file>