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985038BD-C889-4A2B-A1BA-DA9D24FD17D1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Sheet1" sheetId="1" r:id="rId1"/>
    <sheet name="Index &amp; Match" sheetId="2" r:id="rId2"/>
    <sheet name="Lookup" sheetId="3" r:id="rId3"/>
    <sheet name="VLookup" sheetId="4" r:id="rId4"/>
  </sheets>
  <definedNames>
    <definedName name="LIST1">VLookup!$A:$E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4" l="1"/>
  <c r="I4" i="4"/>
  <c r="I5" i="4"/>
  <c r="I2" i="4"/>
  <c r="L2" i="3"/>
  <c r="H3" i="2"/>
  <c r="G6" i="2"/>
  <c r="G7" i="2"/>
  <c r="P4" i="1"/>
  <c r="O7" i="1"/>
  <c r="O6" i="1"/>
  <c r="E2" i="1" a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<sst xmlns="http://schemas.openxmlformats.org/spreadsheetml/2006/main" count="265" uniqueCount="117">
  <si>
    <t>Emp Id</t>
  </si>
  <si>
    <t>Emp Name</t>
  </si>
  <si>
    <t>Age</t>
  </si>
  <si>
    <t>Unique</t>
  </si>
  <si>
    <t>Frequency</t>
  </si>
  <si>
    <t>Table 1 — Batches Time Table</t>
  </si>
  <si>
    <t>Table 2 — INDEX &amp; MATCH</t>
  </si>
  <si>
    <t>Aarav</t>
  </si>
  <si>
    <t>TIME/TEACHER</t>
  </si>
  <si>
    <t>Asif Sir</t>
  </si>
  <si>
    <t>Vikrant Sir</t>
  </si>
  <si>
    <t>Rahul Sir</t>
  </si>
  <si>
    <t>Akshay Sir</t>
  </si>
  <si>
    <t>Ananya</t>
  </si>
  <si>
    <t>7.00 AM</t>
  </si>
  <si>
    <t>Tally</t>
  </si>
  <si>
    <t>Excel</t>
  </si>
  <si>
    <t>DTP</t>
  </si>
  <si>
    <t>Ms-Office</t>
  </si>
  <si>
    <t>SELECT</t>
  </si>
  <si>
    <t>Rahul</t>
  </si>
  <si>
    <t>8.00 AM</t>
  </si>
  <si>
    <t>Ms-office</t>
  </si>
  <si>
    <t>1.00 PM</t>
  </si>
  <si>
    <t>Priya</t>
  </si>
  <si>
    <t>9.00 AM</t>
  </si>
  <si>
    <t>Arjun</t>
  </si>
  <si>
    <t>10.00 AM</t>
  </si>
  <si>
    <t>row no</t>
  </si>
  <si>
    <t>Neha</t>
  </si>
  <si>
    <t>11.00 AM</t>
  </si>
  <si>
    <t>column no</t>
  </si>
  <si>
    <t>Rohit</t>
  </si>
  <si>
    <t>12.00 PM</t>
  </si>
  <si>
    <t>Pooja</t>
  </si>
  <si>
    <t>Amit</t>
  </si>
  <si>
    <t>Sneha</t>
  </si>
  <si>
    <t>Vikas</t>
  </si>
  <si>
    <t>Kavya</t>
  </si>
  <si>
    <t>Karan</t>
  </si>
  <si>
    <t>Riya</t>
  </si>
  <si>
    <t>Aditya</t>
  </si>
  <si>
    <t>Simran</t>
  </si>
  <si>
    <t>Nikhil</t>
  </si>
  <si>
    <t>Isha</t>
  </si>
  <si>
    <t>Varun</t>
  </si>
  <si>
    <t>Shreya</t>
  </si>
  <si>
    <t>Akash</t>
  </si>
  <si>
    <t>Divya</t>
  </si>
  <si>
    <t>Sahil</t>
  </si>
  <si>
    <t>Manish</t>
  </si>
  <si>
    <t>Tanvi</t>
  </si>
  <si>
    <t>Raj</t>
  </si>
  <si>
    <t>Payal</t>
  </si>
  <si>
    <t>Sagar</t>
  </si>
  <si>
    <t>Ayesha</t>
  </si>
  <si>
    <t>Ankit</t>
  </si>
  <si>
    <t>Megha</t>
  </si>
  <si>
    <t>Abhishek</t>
  </si>
  <si>
    <t>Nisha</t>
  </si>
  <si>
    <t>Rohan</t>
  </si>
  <si>
    <t>Sakshi</t>
  </si>
  <si>
    <t>Varsha</t>
  </si>
  <si>
    <t>Yash</t>
  </si>
  <si>
    <t>Pallavi</t>
  </si>
  <si>
    <t>Deepak</t>
  </si>
  <si>
    <t>Komal</t>
  </si>
  <si>
    <t>Akshay</t>
  </si>
  <si>
    <t>Snehal</t>
  </si>
  <si>
    <t>Manisha</t>
  </si>
  <si>
    <t>Harsh</t>
  </si>
  <si>
    <t>Swati</t>
  </si>
  <si>
    <t>Pranav</t>
  </si>
  <si>
    <t>Rashmi</t>
  </si>
  <si>
    <t>Tushar</t>
  </si>
  <si>
    <t>Priti</t>
  </si>
  <si>
    <t>INDEX &amp; MATCH</t>
  </si>
  <si>
    <t>`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</si>
  <si>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</si>
  <si>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</si>
  <si>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</si>
  <si>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</si>
  <si>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</si>
  <si>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</si>
  <si>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</si>
  <si>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</si>
  <si>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Sr.No</t>
  </si>
  <si>
    <t xml:space="preserve">LOOKUP  </t>
  </si>
  <si>
    <t>AMIT MAHATA</t>
  </si>
  <si>
    <t>BIMAL HANSDA</t>
  </si>
  <si>
    <t>ASHIS MAHATA</t>
  </si>
  <si>
    <t>BARUN RAY</t>
  </si>
  <si>
    <t>BHADU DOLAI</t>
  </si>
  <si>
    <t>BHAKTIPADA DULE</t>
  </si>
  <si>
    <t>BHOLANATH DOLAI</t>
  </si>
  <si>
    <t>CHITTARANJAN MAHATA</t>
  </si>
  <si>
    <t>CHITTARANJAN GHOSH</t>
  </si>
  <si>
    <t>DIPAK ADHIKARY</t>
  </si>
  <si>
    <t>DIPAK MAHATA</t>
  </si>
  <si>
    <t>GANGA ROY</t>
  </si>
  <si>
    <t>GOURA MAHATA</t>
  </si>
  <si>
    <t>JADUNATH KARMAKAR</t>
  </si>
  <si>
    <t>JHANTU MAHATA</t>
  </si>
  <si>
    <t>Account No</t>
  </si>
  <si>
    <t>Amount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</si>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</sst>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2" fillId="4" borderId="1" xfId="0" applyFont="1" applyFill="1" applyBorder="1"/>
    <xf numFmtId="0" fontId="0" fillId="5" borderId="1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6" borderId="0" xfId="0" applyFont="1" applyFill="1"/>
    <xf numFmtId="0" fontId="1" fillId="7" borderId="1" xfId="0" applyFont="1" applyFill="1" applyBorder="1"/>
    <xf numFmtId="0" fontId="0" fillId="7" borderId="1" xfId="0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0" fillId="0" borderId="0" xfId="0" applyBorder="1"/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opLeftCell="G1" workbookViewId="0">
      <selection activeCell="H1" sqref="H1:L9"/>
    </sheetView>
  </sheetViews>
  <sheetFormatPr defaultRowHeight="15"/>
  <cols>
    <col min="2" max="2" width="10.85546875" bestFit="1" customWidth="1"/>
    <col min="5" max="5" width="9.85546875" customWidth="1"/>
    <col min="8" max="8" width="15.140625" customWidth="1"/>
    <col min="14" max="14" width="10.14062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H1" t="s">
        <v>5</v>
      </c>
      <c r="O1" t="s">
        <v>6</v>
      </c>
    </row>
    <row r="2" spans="1:16">
      <c r="A2" s="2">
        <v>1</v>
      </c>
      <c r="B2" s="2" t="s">
        <v>7</v>
      </c>
      <c r="C2" s="2">
        <v>24</v>
      </c>
      <c r="D2" s="2">
        <v>24</v>
      </c>
      <c r="E2" s="1" cm="1">
        <f t="array" ref="E2:E15">FREQUENCY(C2:C51,D2:D14)</f>
        <v>6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6">
      <c r="A3" s="2">
        <v>2</v>
      </c>
      <c r="B3" s="2" t="s">
        <v>13</v>
      </c>
      <c r="C3" s="2">
        <v>26</v>
      </c>
      <c r="D3" s="2">
        <v>26</v>
      </c>
      <c r="E3" s="1">
        <v>6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O3" s="6" t="s">
        <v>19</v>
      </c>
      <c r="P3" s="5" t="s">
        <v>10</v>
      </c>
    </row>
    <row r="4" spans="1:16">
      <c r="A4" s="2">
        <v>3</v>
      </c>
      <c r="B4" s="2" t="s">
        <v>20</v>
      </c>
      <c r="C4" s="2">
        <v>28</v>
      </c>
      <c r="D4" s="2">
        <v>28</v>
      </c>
      <c r="E4" s="1">
        <v>6</v>
      </c>
      <c r="H4" s="1" t="s">
        <v>21</v>
      </c>
      <c r="I4" s="1" t="s">
        <v>16</v>
      </c>
      <c r="J4" s="1" t="s">
        <v>22</v>
      </c>
      <c r="K4" s="1" t="s">
        <v>16</v>
      </c>
      <c r="L4" s="1" t="s">
        <v>17</v>
      </c>
      <c r="O4" t="s">
        <v>23</v>
      </c>
      <c r="P4" t="str">
        <f>INDEX(H2:L2,2)</f>
        <v>Asif Sir</v>
      </c>
    </row>
    <row r="5" spans="1:16">
      <c r="A5" s="2">
        <v>4</v>
      </c>
      <c r="B5" s="2" t="s">
        <v>24</v>
      </c>
      <c r="C5" s="2">
        <v>25</v>
      </c>
      <c r="D5" s="2">
        <v>25</v>
      </c>
      <c r="E5" s="1">
        <v>4</v>
      </c>
      <c r="H5" s="1" t="s">
        <v>25</v>
      </c>
      <c r="I5" s="1" t="s">
        <v>18</v>
      </c>
      <c r="J5" s="1" t="s">
        <v>17</v>
      </c>
      <c r="K5" s="1" t="s">
        <v>17</v>
      </c>
      <c r="L5" s="1" t="s">
        <v>16</v>
      </c>
    </row>
    <row r="6" spans="1:16">
      <c r="A6" s="2">
        <v>5</v>
      </c>
      <c r="B6" s="2" t="s">
        <v>26</v>
      </c>
      <c r="C6" s="2">
        <v>30</v>
      </c>
      <c r="D6" s="2">
        <v>30</v>
      </c>
      <c r="E6" s="1">
        <v>5</v>
      </c>
      <c r="H6" s="1" t="s">
        <v>27</v>
      </c>
      <c r="I6" s="1" t="s">
        <v>17</v>
      </c>
      <c r="J6" s="1" t="s">
        <v>15</v>
      </c>
      <c r="K6" s="1" t="s">
        <v>18</v>
      </c>
      <c r="L6" s="1" t="s">
        <v>15</v>
      </c>
      <c r="N6" t="s">
        <v>28</v>
      </c>
      <c r="O6">
        <f>MATCH(O4,H2:H9,0)</f>
        <v>8</v>
      </c>
    </row>
    <row r="7" spans="1:16">
      <c r="A7" s="2">
        <v>6</v>
      </c>
      <c r="B7" s="2" t="s">
        <v>29</v>
      </c>
      <c r="C7" s="2">
        <v>27</v>
      </c>
      <c r="D7" s="2">
        <v>27</v>
      </c>
      <c r="E7" s="1">
        <v>6</v>
      </c>
      <c r="H7" s="1" t="s">
        <v>30</v>
      </c>
      <c r="I7" s="1" t="s">
        <v>15</v>
      </c>
      <c r="J7" s="1" t="s">
        <v>16</v>
      </c>
      <c r="K7" s="1" t="s">
        <v>15</v>
      </c>
      <c r="L7" s="1" t="s">
        <v>16</v>
      </c>
      <c r="N7" t="s">
        <v>31</v>
      </c>
      <c r="O7">
        <f>MATCH(P3,H2:L2,0)</f>
        <v>3</v>
      </c>
    </row>
    <row r="8" spans="1:16">
      <c r="A8" s="2">
        <v>7</v>
      </c>
      <c r="B8" s="2" t="s">
        <v>32</v>
      </c>
      <c r="C8" s="2">
        <v>29</v>
      </c>
      <c r="D8" s="2">
        <v>29</v>
      </c>
      <c r="E8" s="1">
        <v>4</v>
      </c>
      <c r="H8" s="1" t="s">
        <v>33</v>
      </c>
      <c r="I8" s="1" t="s">
        <v>16</v>
      </c>
      <c r="J8" s="1" t="s">
        <v>17</v>
      </c>
      <c r="K8" s="1" t="s">
        <v>16</v>
      </c>
      <c r="L8" s="1" t="s">
        <v>15</v>
      </c>
    </row>
    <row r="9" spans="1:16">
      <c r="A9" s="2">
        <v>8</v>
      </c>
      <c r="B9" s="2" t="s">
        <v>34</v>
      </c>
      <c r="C9" s="2">
        <v>24</v>
      </c>
      <c r="D9" s="2">
        <v>31</v>
      </c>
      <c r="E9" s="1">
        <v>2</v>
      </c>
      <c r="H9" s="1" t="s">
        <v>23</v>
      </c>
      <c r="I9" s="1" t="s">
        <v>18</v>
      </c>
      <c r="J9" s="1" t="s">
        <v>22</v>
      </c>
      <c r="K9" s="1" t="s">
        <v>17</v>
      </c>
      <c r="L9" s="1" t="s">
        <v>16</v>
      </c>
    </row>
    <row r="10" spans="1:16">
      <c r="A10" s="2">
        <v>9</v>
      </c>
      <c r="B10" s="2" t="s">
        <v>35</v>
      </c>
      <c r="C10" s="2">
        <v>23</v>
      </c>
      <c r="D10" s="2">
        <v>23</v>
      </c>
      <c r="E10" s="1">
        <v>3</v>
      </c>
    </row>
    <row r="11" spans="1:16">
      <c r="A11" s="2">
        <v>10</v>
      </c>
      <c r="B11" s="2" t="s">
        <v>36</v>
      </c>
      <c r="C11" s="2">
        <v>26</v>
      </c>
      <c r="D11" s="2">
        <v>32</v>
      </c>
      <c r="E11" s="1">
        <v>3</v>
      </c>
    </row>
    <row r="12" spans="1:16">
      <c r="A12" s="2">
        <v>11</v>
      </c>
      <c r="B12" s="2" t="s">
        <v>37</v>
      </c>
      <c r="C12" s="2">
        <v>28</v>
      </c>
      <c r="D12" s="2">
        <v>33</v>
      </c>
      <c r="E12" s="1">
        <v>2</v>
      </c>
    </row>
    <row r="13" spans="1:16">
      <c r="A13" s="2">
        <v>12</v>
      </c>
      <c r="B13" s="2" t="s">
        <v>38</v>
      </c>
      <c r="C13" s="2">
        <v>23</v>
      </c>
      <c r="D13" s="2">
        <v>34</v>
      </c>
      <c r="E13" s="1">
        <v>1</v>
      </c>
    </row>
    <row r="14" spans="1:16">
      <c r="A14" s="2">
        <v>13</v>
      </c>
      <c r="B14" s="2" t="s">
        <v>39</v>
      </c>
      <c r="C14" s="2">
        <v>32</v>
      </c>
      <c r="D14" s="2">
        <v>21</v>
      </c>
      <c r="E14" s="1">
        <v>2</v>
      </c>
    </row>
    <row r="15" spans="1:16">
      <c r="A15" s="2">
        <v>14</v>
      </c>
      <c r="B15" s="2" t="s">
        <v>40</v>
      </c>
      <c r="C15" s="2">
        <v>25</v>
      </c>
      <c r="D15" s="1"/>
      <c r="E15" s="1">
        <v>0</v>
      </c>
    </row>
    <row r="16" spans="1:16">
      <c r="A16" s="2">
        <v>15</v>
      </c>
      <c r="B16" s="2" t="s">
        <v>41</v>
      </c>
      <c r="C16" s="2">
        <v>27</v>
      </c>
      <c r="D16" s="1"/>
      <c r="E16" s="1"/>
    </row>
    <row r="17" spans="1:5">
      <c r="A17" s="2">
        <v>16</v>
      </c>
      <c r="B17" s="2" t="s">
        <v>42</v>
      </c>
      <c r="C17" s="2">
        <v>29</v>
      </c>
      <c r="D17" s="1"/>
      <c r="E17" s="1"/>
    </row>
    <row r="18" spans="1:5">
      <c r="A18" s="2">
        <v>17</v>
      </c>
      <c r="B18" s="2" t="s">
        <v>43</v>
      </c>
      <c r="C18" s="2">
        <v>24</v>
      </c>
      <c r="D18" s="1"/>
      <c r="E18" s="1"/>
    </row>
    <row r="19" spans="1:5">
      <c r="A19" s="2">
        <v>18</v>
      </c>
      <c r="B19" s="2" t="s">
        <v>44</v>
      </c>
      <c r="C19" s="2">
        <v>26</v>
      </c>
      <c r="D19" s="1"/>
      <c r="E19" s="1"/>
    </row>
    <row r="20" spans="1:5">
      <c r="A20" s="2">
        <v>19</v>
      </c>
      <c r="B20" s="2" t="s">
        <v>45</v>
      </c>
      <c r="C20" s="2">
        <v>30</v>
      </c>
      <c r="D20" s="1"/>
      <c r="E20" s="1"/>
    </row>
    <row r="21" spans="1:5">
      <c r="A21" s="2">
        <v>20</v>
      </c>
      <c r="B21" s="2" t="s">
        <v>46</v>
      </c>
      <c r="C21" s="2">
        <v>28</v>
      </c>
      <c r="D21" s="1"/>
      <c r="E21" s="1"/>
    </row>
    <row r="22" spans="1:5">
      <c r="A22" s="2">
        <v>21</v>
      </c>
      <c r="B22" s="2" t="s">
        <v>47</v>
      </c>
      <c r="C22" s="2">
        <v>33</v>
      </c>
      <c r="D22" s="1"/>
      <c r="E22" s="1"/>
    </row>
    <row r="23" spans="1:5">
      <c r="A23" s="2">
        <v>22</v>
      </c>
      <c r="B23" s="2" t="s">
        <v>48</v>
      </c>
      <c r="C23" s="2">
        <v>25</v>
      </c>
      <c r="D23" s="1"/>
      <c r="E23" s="1"/>
    </row>
    <row r="24" spans="1:5">
      <c r="A24" s="2">
        <v>23</v>
      </c>
      <c r="B24" s="2" t="s">
        <v>49</v>
      </c>
      <c r="C24" s="2">
        <v>27</v>
      </c>
      <c r="D24" s="1"/>
      <c r="E24" s="1"/>
    </row>
    <row r="25" spans="1:5">
      <c r="A25" s="2">
        <v>24</v>
      </c>
      <c r="B25" s="2" t="s">
        <v>29</v>
      </c>
      <c r="C25" s="2">
        <v>29</v>
      </c>
      <c r="D25" s="1"/>
      <c r="E25" s="1"/>
    </row>
    <row r="26" spans="1:5">
      <c r="A26" s="2">
        <v>25</v>
      </c>
      <c r="B26" s="2" t="s">
        <v>50</v>
      </c>
      <c r="C26" s="2">
        <v>31</v>
      </c>
      <c r="D26" s="1"/>
      <c r="E26" s="1"/>
    </row>
    <row r="27" spans="1:5">
      <c r="A27" s="2">
        <v>26</v>
      </c>
      <c r="B27" s="2" t="s">
        <v>51</v>
      </c>
      <c r="C27" s="2">
        <v>24</v>
      </c>
      <c r="D27" s="1"/>
      <c r="E27" s="1"/>
    </row>
    <row r="28" spans="1:5">
      <c r="A28" s="2">
        <v>27</v>
      </c>
      <c r="B28" s="2" t="s">
        <v>52</v>
      </c>
      <c r="C28" s="2">
        <v>28</v>
      </c>
      <c r="D28" s="1"/>
      <c r="E28" s="1"/>
    </row>
    <row r="29" spans="1:5">
      <c r="A29" s="2">
        <v>28</v>
      </c>
      <c r="B29" s="2" t="s">
        <v>53</v>
      </c>
      <c r="C29" s="2">
        <v>26</v>
      </c>
      <c r="D29" s="1"/>
      <c r="E29" s="1"/>
    </row>
    <row r="30" spans="1:5">
      <c r="A30" s="2">
        <v>29</v>
      </c>
      <c r="B30" s="2" t="s">
        <v>54</v>
      </c>
      <c r="C30" s="2">
        <v>30</v>
      </c>
      <c r="D30" s="1"/>
      <c r="E30" s="1"/>
    </row>
    <row r="31" spans="1:5">
      <c r="A31" s="2">
        <v>30</v>
      </c>
      <c r="B31" s="2" t="s">
        <v>55</v>
      </c>
      <c r="C31" s="2">
        <v>23</v>
      </c>
      <c r="D31" s="1"/>
      <c r="E31" s="1"/>
    </row>
    <row r="32" spans="1:5">
      <c r="A32" s="2">
        <v>31</v>
      </c>
      <c r="B32" s="2" t="s">
        <v>56</v>
      </c>
      <c r="C32" s="2">
        <v>32</v>
      </c>
      <c r="D32" s="1"/>
      <c r="E32" s="1"/>
    </row>
    <row r="33" spans="1:5">
      <c r="A33" s="2">
        <v>32</v>
      </c>
      <c r="B33" s="2" t="s">
        <v>57</v>
      </c>
      <c r="C33" s="2">
        <v>27</v>
      </c>
      <c r="D33" s="1"/>
      <c r="E33" s="1"/>
    </row>
    <row r="34" spans="1:5">
      <c r="A34" s="2">
        <v>33</v>
      </c>
      <c r="B34" s="2" t="s">
        <v>58</v>
      </c>
      <c r="C34" s="2">
        <v>29</v>
      </c>
      <c r="D34" s="1"/>
      <c r="E34" s="1"/>
    </row>
    <row r="35" spans="1:5">
      <c r="A35" s="2">
        <v>34</v>
      </c>
      <c r="B35" s="2" t="s">
        <v>59</v>
      </c>
      <c r="C35" s="2">
        <v>30</v>
      </c>
      <c r="D35" s="1"/>
      <c r="E35" s="1"/>
    </row>
    <row r="36" spans="1:5">
      <c r="A36" s="2">
        <v>35</v>
      </c>
      <c r="B36" s="2" t="s">
        <v>60</v>
      </c>
      <c r="C36" s="2">
        <v>34</v>
      </c>
      <c r="D36" s="1"/>
      <c r="E36" s="1"/>
    </row>
    <row r="37" spans="1:5">
      <c r="A37" s="2">
        <v>36</v>
      </c>
      <c r="B37" s="2" t="s">
        <v>61</v>
      </c>
      <c r="C37" s="2">
        <v>26</v>
      </c>
      <c r="D37" s="1"/>
      <c r="E37" s="1"/>
    </row>
    <row r="38" spans="1:5">
      <c r="A38" s="2">
        <v>37</v>
      </c>
      <c r="B38" s="2" t="s">
        <v>62</v>
      </c>
      <c r="C38" s="2">
        <v>28</v>
      </c>
      <c r="D38" s="1"/>
      <c r="E38" s="1"/>
    </row>
    <row r="39" spans="1:5">
      <c r="A39" s="2">
        <v>38</v>
      </c>
      <c r="B39" s="2" t="s">
        <v>63</v>
      </c>
      <c r="C39" s="2">
        <v>24</v>
      </c>
      <c r="D39" s="1"/>
      <c r="E39" s="1"/>
    </row>
    <row r="40" spans="1:5">
      <c r="A40" s="2">
        <v>39</v>
      </c>
      <c r="B40" s="2" t="s">
        <v>64</v>
      </c>
      <c r="C40" s="2">
        <v>30</v>
      </c>
      <c r="D40" s="1"/>
      <c r="E40" s="1"/>
    </row>
    <row r="41" spans="1:5">
      <c r="A41" s="2">
        <v>40</v>
      </c>
      <c r="B41" s="2" t="s">
        <v>65</v>
      </c>
      <c r="C41" s="2">
        <v>31</v>
      </c>
      <c r="D41" s="1"/>
      <c r="E41" s="1"/>
    </row>
    <row r="42" spans="1:5">
      <c r="A42" s="2">
        <v>41</v>
      </c>
      <c r="B42" s="2" t="s">
        <v>66</v>
      </c>
      <c r="C42" s="2">
        <v>25</v>
      </c>
      <c r="D42" s="1"/>
      <c r="E42" s="1"/>
    </row>
    <row r="43" spans="1:5">
      <c r="A43" s="2">
        <v>42</v>
      </c>
      <c r="B43" s="2" t="s">
        <v>67</v>
      </c>
      <c r="C43" s="2">
        <v>27</v>
      </c>
      <c r="D43" s="1"/>
      <c r="E43" s="1"/>
    </row>
    <row r="44" spans="1:5">
      <c r="A44" s="2">
        <v>43</v>
      </c>
      <c r="B44" s="2" t="s">
        <v>68</v>
      </c>
      <c r="C44" s="2">
        <v>21</v>
      </c>
      <c r="D44" s="1"/>
      <c r="E44" s="1"/>
    </row>
    <row r="45" spans="1:5">
      <c r="A45" s="2">
        <v>44</v>
      </c>
      <c r="B45" s="2" t="s">
        <v>69</v>
      </c>
      <c r="C45" s="2">
        <v>26</v>
      </c>
      <c r="D45" s="1"/>
      <c r="E45" s="1"/>
    </row>
    <row r="46" spans="1:5">
      <c r="A46" s="2">
        <v>45</v>
      </c>
      <c r="B46" s="2" t="s">
        <v>70</v>
      </c>
      <c r="C46" s="2">
        <v>33</v>
      </c>
      <c r="D46" s="1"/>
      <c r="E46" s="1"/>
    </row>
    <row r="47" spans="1:5">
      <c r="A47" s="2">
        <v>46</v>
      </c>
      <c r="B47" s="2" t="s">
        <v>71</v>
      </c>
      <c r="C47" s="2">
        <v>24</v>
      </c>
      <c r="D47" s="1"/>
      <c r="E47" s="1"/>
    </row>
    <row r="48" spans="1:5">
      <c r="A48" s="2">
        <v>47</v>
      </c>
      <c r="B48" s="2" t="s">
        <v>72</v>
      </c>
      <c r="C48" s="2">
        <v>28</v>
      </c>
      <c r="D48" s="1"/>
      <c r="E48" s="1"/>
    </row>
    <row r="49" spans="1:5">
      <c r="A49" s="2">
        <v>48</v>
      </c>
      <c r="B49" s="2" t="s">
        <v>73</v>
      </c>
      <c r="C49" s="2">
        <v>21</v>
      </c>
      <c r="D49" s="1"/>
      <c r="E49" s="1"/>
    </row>
    <row r="50" spans="1:5">
      <c r="A50" s="2">
        <v>49</v>
      </c>
      <c r="B50" s="2" t="s">
        <v>74</v>
      </c>
      <c r="C50" s="2">
        <v>32</v>
      </c>
      <c r="D50" s="1"/>
      <c r="E50" s="1"/>
    </row>
    <row r="51" spans="1:5">
      <c r="A51" s="2">
        <v>50</v>
      </c>
      <c r="B51" s="2" t="s">
        <v>75</v>
      </c>
      <c r="C51" s="2">
        <v>27</v>
      </c>
      <c r="D51" s="1"/>
      <c r="E51" s="1"/>
    </row>
    <row r="61" spans="1:5">
      <c r="B61" t="s">
        <v>9</v>
      </c>
      <c r="C61" t="s">
        <v>10</v>
      </c>
      <c r="D61" t="s">
        <v>11</v>
      </c>
      <c r="E61" t="s">
        <v>12</v>
      </c>
    </row>
    <row r="62" spans="1:5">
      <c r="A62" t="s">
        <v>14</v>
      </c>
      <c r="B62" t="s">
        <v>15</v>
      </c>
      <c r="C62" t="s">
        <v>16</v>
      </c>
      <c r="D62" t="s">
        <v>17</v>
      </c>
      <c r="E62" t="s">
        <v>18</v>
      </c>
    </row>
    <row r="63" spans="1:5">
      <c r="A63" t="s">
        <v>21</v>
      </c>
      <c r="B63" t="s">
        <v>16</v>
      </c>
      <c r="C63" t="s">
        <v>22</v>
      </c>
      <c r="D63" t="s">
        <v>16</v>
      </c>
      <c r="E63" t="s">
        <v>17</v>
      </c>
    </row>
    <row r="64" spans="1:5">
      <c r="A64" t="s">
        <v>25</v>
      </c>
      <c r="B64" t="s">
        <v>18</v>
      </c>
      <c r="C64" t="s">
        <v>17</v>
      </c>
      <c r="D64" t="s">
        <v>17</v>
      </c>
      <c r="E64" t="s">
        <v>16</v>
      </c>
    </row>
    <row r="65" spans="1:5">
      <c r="A65" t="s">
        <v>27</v>
      </c>
      <c r="B65" t="s">
        <v>17</v>
      </c>
      <c r="C65" t="s">
        <v>15</v>
      </c>
      <c r="D65" t="s">
        <v>18</v>
      </c>
      <c r="E65" t="s">
        <v>15</v>
      </c>
    </row>
    <row r="66" spans="1:5">
      <c r="A66" t="s">
        <v>30</v>
      </c>
      <c r="B66" t="s">
        <v>15</v>
      </c>
      <c r="C66" t="s">
        <v>16</v>
      </c>
      <c r="D66" t="s">
        <v>15</v>
      </c>
      <c r="E66" t="s">
        <v>16</v>
      </c>
    </row>
    <row r="67" spans="1:5">
      <c r="A67" t="s">
        <v>33</v>
      </c>
      <c r="B67" t="s">
        <v>16</v>
      </c>
      <c r="C67" t="s">
        <v>17</v>
      </c>
      <c r="D67" t="s">
        <v>16</v>
      </c>
      <c r="E67" t="s">
        <v>15</v>
      </c>
    </row>
    <row r="68" spans="1:5">
      <c r="A68" t="s">
        <v>23</v>
      </c>
      <c r="B68" t="s">
        <v>18</v>
      </c>
      <c r="C68" t="s">
        <v>22</v>
      </c>
      <c r="D68" t="s">
        <v>17</v>
      </c>
      <c r="E68" t="s">
        <v>16</v>
      </c>
    </row>
  </sheetData>
  <dataValidations count="1">
    <dataValidation type="list" allowBlank="1" showInputMessage="1" showErrorMessage="1" sqref="O4" xr:uid="{A7288B3C-F2AE-4CA4-A00C-68BB99BB76B8}">
      <formula1>$H$3:$H$9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0AA0-D274-40A7-9D6A-9966B4B8E45F}">
  <dimension ref="A1:H11"/>
  <sheetViews>
    <sheetView workbookViewId="0">
      <selection sqref="A1:E1"/>
    </sheetView>
  </sheetViews>
  <sheetFormatPr defaultRowHeight="15"/>
  <cols>
    <col min="3" max="3" width="10.28515625" customWidth="1"/>
    <col min="6" max="6" width="12.28515625" customWidth="1"/>
    <col min="8" max="8" width="11.28515625" customWidth="1"/>
  </cols>
  <sheetData>
    <row r="1" spans="1:8">
      <c r="A1" t="s">
        <v>5</v>
      </c>
      <c r="G1" s="7" t="s">
        <v>76</v>
      </c>
      <c r="H1" s="7"/>
    </row>
    <row r="2" spans="1:8">
      <c r="A2" s="9" t="s">
        <v>8</v>
      </c>
      <c r="B2" s="10" t="s">
        <v>9</v>
      </c>
      <c r="C2" s="10" t="s">
        <v>10</v>
      </c>
      <c r="D2" s="10" t="s">
        <v>11</v>
      </c>
      <c r="E2" s="11" t="s">
        <v>12</v>
      </c>
      <c r="G2" s="8" t="s">
        <v>19</v>
      </c>
      <c r="H2" s="10" t="s">
        <v>9</v>
      </c>
    </row>
    <row r="3" spans="1:8">
      <c r="A3" s="12" t="s">
        <v>14</v>
      </c>
      <c r="B3" s="1" t="s">
        <v>15</v>
      </c>
      <c r="C3" s="1" t="s">
        <v>16</v>
      </c>
      <c r="D3" s="1" t="s">
        <v>17</v>
      </c>
      <c r="E3" s="13" t="s">
        <v>18</v>
      </c>
      <c r="G3" s="1" t="s">
        <v>21</v>
      </c>
      <c r="H3" s="1" t="str">
        <f>INDEX(A2:E9,MATCH(G3,A2:A9,0),MATCH(H2,A2:E2,0))</f>
        <v>Excel</v>
      </c>
    </row>
    <row r="4" spans="1:8">
      <c r="A4" s="12" t="s">
        <v>21</v>
      </c>
      <c r="B4" s="1" t="s">
        <v>16</v>
      </c>
      <c r="C4" s="1" t="s">
        <v>22</v>
      </c>
      <c r="D4" s="1" t="s">
        <v>16</v>
      </c>
      <c r="E4" s="13" t="s">
        <v>17</v>
      </c>
    </row>
    <row r="5" spans="1:8">
      <c r="A5" s="12" t="s">
        <v>25</v>
      </c>
      <c r="B5" s="1" t="s">
        <v>18</v>
      </c>
      <c r="C5" s="1" t="s">
        <v>17</v>
      </c>
      <c r="D5" s="1" t="s">
        <v>17</v>
      </c>
      <c r="E5" s="13" t="s">
        <v>16</v>
      </c>
    </row>
    <row r="6" spans="1:8">
      <c r="A6" s="12" t="s">
        <v>27</v>
      </c>
      <c r="B6" s="1" t="s">
        <v>17</v>
      </c>
      <c r="C6" s="1" t="s">
        <v>15</v>
      </c>
      <c r="D6" s="1" t="s">
        <v>18</v>
      </c>
      <c r="E6" s="13" t="s">
        <v>15</v>
      </c>
      <c r="F6" t="s">
        <v>28</v>
      </c>
      <c r="G6">
        <f>MATCH(G3,A2:A9,0)</f>
        <v>3</v>
      </c>
    </row>
    <row r="7" spans="1:8">
      <c r="A7" s="12" t="s">
        <v>30</v>
      </c>
      <c r="B7" s="1" t="s">
        <v>15</v>
      </c>
      <c r="C7" s="1" t="s">
        <v>16</v>
      </c>
      <c r="D7" s="1" t="s">
        <v>15</v>
      </c>
      <c r="E7" s="13" t="s">
        <v>16</v>
      </c>
      <c r="F7" t="s">
        <v>31</v>
      </c>
      <c r="G7">
        <f>MATCH(H2,A2:E2,0)</f>
        <v>2</v>
      </c>
    </row>
    <row r="8" spans="1:8">
      <c r="A8" s="12" t="s">
        <v>33</v>
      </c>
      <c r="B8" s="1" t="s">
        <v>16</v>
      </c>
      <c r="C8" s="1" t="s">
        <v>17</v>
      </c>
      <c r="D8" s="1" t="s">
        <v>16</v>
      </c>
      <c r="E8" s="13" t="s">
        <v>15</v>
      </c>
    </row>
    <row r="9" spans="1:8">
      <c r="A9" s="14" t="s">
        <v>23</v>
      </c>
      <c r="B9" s="15" t="s">
        <v>18</v>
      </c>
      <c r="C9" s="15" t="s">
        <v>22</v>
      </c>
      <c r="D9" s="15" t="s">
        <v>17</v>
      </c>
      <c r="E9" s="16" t="s">
        <v>16</v>
      </c>
    </row>
    <row r="11" spans="1:8">
      <c r="C11" t="s">
        <v>77</v>
      </c>
    </row>
  </sheetData>
  <dataValidations count="3">
    <dataValidation allowBlank="1" showInputMessage="1" showErrorMessage="1" sqref="G2" xr:uid="{2CB1180B-1EF3-44DA-8574-56E240239491}"/>
    <dataValidation type="list" allowBlank="1" showInputMessage="1" showErrorMessage="1" sqref="G3" xr:uid="{53AC52EF-3E58-4274-AD2B-B5FFC9A2ECC2}">
      <formula1>$A$3:$A$9</formula1>
    </dataValidation>
    <dataValidation type="list" allowBlank="1" showInputMessage="1" showErrorMessage="1" sqref="H2" xr:uid="{29BA369E-6CB9-4E2F-ABBE-79183A9EF224}">
      <formula1>$A$2:$E$2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E1B9-F3ED-41C2-8120-53C474A399BD}">
  <dimension ref="A1:L16"/>
  <sheetViews>
    <sheetView workbookViewId="0">
      <selection activeCell="K5" sqref="K5"/>
    </sheetView>
  </sheetViews>
  <sheetFormatPr defaultRowHeight="15"/>
  <cols>
    <col min="1" max="1" width="23.28515625" customWidth="1"/>
    <col min="11" max="11" width="14.7109375" customWidth="1"/>
  </cols>
  <sheetData>
    <row r="1" spans="1:12">
      <c r="A1" s="17" t="s">
        <v>78</v>
      </c>
      <c r="B1" s="17" t="s">
        <v>79</v>
      </c>
      <c r="C1" s="17" t="s">
        <v>80</v>
      </c>
      <c r="D1" s="17" t="s">
        <v>81</v>
      </c>
      <c r="E1" s="17" t="s">
        <v>82</v>
      </c>
      <c r="F1" s="17" t="s">
        <v>83</v>
      </c>
      <c r="G1" s="17" t="s">
        <v>84</v>
      </c>
      <c r="H1" s="17" t="s">
        <v>85</v>
      </c>
      <c r="I1" t="s">
        <v>86</v>
      </c>
      <c r="K1" s="18" t="s">
        <v>87</v>
      </c>
      <c r="L1" s="19" t="s">
        <v>86</v>
      </c>
    </row>
    <row r="2" spans="1:12">
      <c r="A2" t="s">
        <v>88</v>
      </c>
      <c r="B2">
        <v>26</v>
      </c>
      <c r="C2">
        <v>2370</v>
      </c>
      <c r="D2">
        <v>2290</v>
      </c>
      <c r="E2">
        <v>7150</v>
      </c>
      <c r="F2">
        <v>559</v>
      </c>
      <c r="G2">
        <v>72</v>
      </c>
      <c r="H2">
        <v>6519</v>
      </c>
      <c r="I2">
        <v>1</v>
      </c>
      <c r="K2" s="1" t="s">
        <v>89</v>
      </c>
      <c r="L2" s="1">
        <f>LOOKUP(K2,A1:A16,I1:I16)</f>
        <v>7</v>
      </c>
    </row>
    <row r="3" spans="1:12">
      <c r="A3" t="s">
        <v>90</v>
      </c>
      <c r="B3">
        <v>15</v>
      </c>
      <c r="C3">
        <v>1315.38</v>
      </c>
      <c r="D3">
        <v>1275</v>
      </c>
      <c r="E3">
        <v>3975</v>
      </c>
      <c r="F3">
        <v>311</v>
      </c>
      <c r="G3">
        <v>40</v>
      </c>
      <c r="H3">
        <v>3624</v>
      </c>
      <c r="I3">
        <v>2</v>
      </c>
    </row>
    <row r="4" spans="1:12">
      <c r="A4" t="s">
        <v>91</v>
      </c>
      <c r="B4">
        <v>26</v>
      </c>
      <c r="C4">
        <v>2370</v>
      </c>
      <c r="D4">
        <v>2290</v>
      </c>
      <c r="E4">
        <v>7150</v>
      </c>
      <c r="F4">
        <v>559</v>
      </c>
      <c r="G4">
        <v>72</v>
      </c>
      <c r="H4">
        <v>6519</v>
      </c>
      <c r="I4">
        <v>3</v>
      </c>
    </row>
    <row r="5" spans="1:12">
      <c r="A5" t="s">
        <v>92</v>
      </c>
      <c r="B5">
        <v>26</v>
      </c>
      <c r="C5">
        <v>2370</v>
      </c>
      <c r="D5">
        <v>2290</v>
      </c>
      <c r="E5">
        <v>7150</v>
      </c>
      <c r="F5">
        <v>559</v>
      </c>
      <c r="G5">
        <v>72</v>
      </c>
      <c r="H5">
        <v>6519</v>
      </c>
      <c r="I5">
        <v>4</v>
      </c>
    </row>
    <row r="6" spans="1:12">
      <c r="A6" t="s">
        <v>93</v>
      </c>
      <c r="B6">
        <v>3</v>
      </c>
      <c r="C6">
        <v>273.45999999999998</v>
      </c>
      <c r="D6">
        <v>264.23</v>
      </c>
      <c r="E6">
        <v>825</v>
      </c>
      <c r="F6">
        <v>65</v>
      </c>
      <c r="G6">
        <v>8</v>
      </c>
      <c r="H6">
        <v>752</v>
      </c>
      <c r="I6">
        <v>5</v>
      </c>
    </row>
    <row r="7" spans="1:12">
      <c r="A7" t="s">
        <v>94</v>
      </c>
      <c r="B7">
        <v>2</v>
      </c>
      <c r="C7">
        <v>182.31</v>
      </c>
      <c r="D7">
        <v>176.15</v>
      </c>
      <c r="E7">
        <v>550</v>
      </c>
      <c r="F7">
        <v>43</v>
      </c>
      <c r="G7">
        <v>6</v>
      </c>
      <c r="H7">
        <v>501</v>
      </c>
      <c r="I7">
        <v>6</v>
      </c>
    </row>
    <row r="8" spans="1:12">
      <c r="A8" t="s">
        <v>89</v>
      </c>
      <c r="B8">
        <v>22</v>
      </c>
      <c r="C8">
        <v>2005.38</v>
      </c>
      <c r="D8">
        <v>1937.69</v>
      </c>
      <c r="E8">
        <v>6050</v>
      </c>
      <c r="F8">
        <v>473</v>
      </c>
      <c r="G8">
        <v>61</v>
      </c>
      <c r="H8">
        <v>5516</v>
      </c>
      <c r="I8">
        <v>7</v>
      </c>
    </row>
    <row r="9" spans="1:12">
      <c r="A9" t="s">
        <v>95</v>
      </c>
      <c r="B9">
        <v>22</v>
      </c>
      <c r="C9">
        <v>2005.38</v>
      </c>
      <c r="D9">
        <v>1937.69</v>
      </c>
      <c r="E9">
        <v>6050</v>
      </c>
      <c r="F9">
        <v>473</v>
      </c>
      <c r="G9">
        <v>61</v>
      </c>
      <c r="H9">
        <v>5516</v>
      </c>
      <c r="I9">
        <v>8</v>
      </c>
    </row>
    <row r="10" spans="1:12">
      <c r="A10" t="s">
        <v>96</v>
      </c>
      <c r="B10">
        <v>26</v>
      </c>
      <c r="C10">
        <v>2370</v>
      </c>
      <c r="D10">
        <v>2290</v>
      </c>
      <c r="E10">
        <v>7150</v>
      </c>
      <c r="F10">
        <v>559</v>
      </c>
      <c r="G10">
        <v>72</v>
      </c>
      <c r="H10">
        <v>6519</v>
      </c>
      <c r="I10">
        <v>9</v>
      </c>
    </row>
    <row r="11" spans="1:12">
      <c r="A11" t="s">
        <v>97</v>
      </c>
      <c r="B11">
        <v>26</v>
      </c>
      <c r="C11">
        <v>2370</v>
      </c>
      <c r="D11">
        <v>2290</v>
      </c>
      <c r="E11">
        <v>7150</v>
      </c>
      <c r="F11">
        <v>559</v>
      </c>
      <c r="G11">
        <v>72</v>
      </c>
      <c r="H11">
        <v>6519</v>
      </c>
      <c r="I11">
        <v>10</v>
      </c>
    </row>
    <row r="12" spans="1:12">
      <c r="A12" t="s">
        <v>98</v>
      </c>
      <c r="B12">
        <v>26</v>
      </c>
      <c r="C12">
        <v>2370</v>
      </c>
      <c r="D12">
        <v>2290</v>
      </c>
      <c r="E12">
        <v>7150</v>
      </c>
      <c r="F12">
        <v>559</v>
      </c>
      <c r="G12">
        <v>72</v>
      </c>
      <c r="H12">
        <v>6519</v>
      </c>
      <c r="I12">
        <v>11</v>
      </c>
    </row>
    <row r="13" spans="1:12">
      <c r="A13" t="s">
        <v>99</v>
      </c>
      <c r="B13">
        <v>24</v>
      </c>
      <c r="C13">
        <v>2104.62</v>
      </c>
      <c r="D13">
        <v>2040</v>
      </c>
      <c r="E13">
        <v>6360</v>
      </c>
      <c r="F13">
        <v>497</v>
      </c>
      <c r="G13">
        <v>64</v>
      </c>
      <c r="H13">
        <v>5799</v>
      </c>
      <c r="I13">
        <v>12</v>
      </c>
    </row>
    <row r="14" spans="1:12">
      <c r="A14" t="s">
        <v>100</v>
      </c>
      <c r="B14">
        <v>26</v>
      </c>
      <c r="C14">
        <v>2370</v>
      </c>
      <c r="D14">
        <v>2290</v>
      </c>
      <c r="E14">
        <v>7150</v>
      </c>
      <c r="F14">
        <v>559</v>
      </c>
      <c r="G14">
        <v>72</v>
      </c>
      <c r="H14">
        <v>6519</v>
      </c>
      <c r="I14">
        <v>13</v>
      </c>
    </row>
    <row r="15" spans="1:12">
      <c r="A15" t="s">
        <v>101</v>
      </c>
      <c r="B15">
        <v>25</v>
      </c>
      <c r="C15">
        <v>2278.85</v>
      </c>
      <c r="D15">
        <v>2201.92</v>
      </c>
      <c r="E15">
        <v>6875</v>
      </c>
      <c r="F15">
        <v>538</v>
      </c>
      <c r="G15">
        <v>69</v>
      </c>
      <c r="H15">
        <v>6268</v>
      </c>
      <c r="I15">
        <v>14</v>
      </c>
    </row>
    <row r="16" spans="1:12">
      <c r="A16" t="s">
        <v>102</v>
      </c>
      <c r="B16">
        <v>17</v>
      </c>
      <c r="C16">
        <v>1549.62</v>
      </c>
      <c r="D16">
        <v>1497.76</v>
      </c>
      <c r="E16">
        <v>4675</v>
      </c>
      <c r="F16">
        <v>366</v>
      </c>
      <c r="G16">
        <v>47</v>
      </c>
      <c r="H16">
        <v>4262</v>
      </c>
      <c r="I16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8A06-7CC4-4BDE-A677-847ECFB74AE4}">
  <dimension ref="A1:I14"/>
  <sheetViews>
    <sheetView tabSelected="1" workbookViewId="0">
      <selection activeCell="L13" sqref="L13"/>
    </sheetView>
  </sheetViews>
  <sheetFormatPr defaultRowHeight="15"/>
  <cols>
    <col min="1" max="1" width="14.42578125" customWidth="1"/>
    <col min="3" max="3" width="9.85546875" customWidth="1"/>
    <col min="8" max="8" width="12.140625" customWidth="1"/>
  </cols>
  <sheetData>
    <row r="1" spans="1:9">
      <c r="A1" s="21" t="s">
        <v>103</v>
      </c>
      <c r="B1" s="21" t="s">
        <v>104</v>
      </c>
      <c r="C1" s="21" t="s">
        <v>105</v>
      </c>
      <c r="D1" s="21" t="s">
        <v>106</v>
      </c>
      <c r="E1" s="21" t="s">
        <v>107</v>
      </c>
      <c r="H1" s="20" t="s">
        <v>103</v>
      </c>
      <c r="I1" s="1">
        <v>5600006</v>
      </c>
    </row>
    <row r="2" spans="1:9">
      <c r="A2" s="2">
        <v>5600001</v>
      </c>
      <c r="B2" s="2">
        <v>5000</v>
      </c>
      <c r="C2" s="2" t="s">
        <v>108</v>
      </c>
      <c r="D2" s="2" t="s">
        <v>109</v>
      </c>
      <c r="E2" s="2" t="s">
        <v>110</v>
      </c>
      <c r="H2" s="20" t="s">
        <v>104</v>
      </c>
      <c r="I2" s="1">
        <f>VLOOKUP($I$1,A1:E14,ROW(),0)</f>
        <v>8721</v>
      </c>
    </row>
    <row r="3" spans="1:9">
      <c r="A3" s="2">
        <v>5600002</v>
      </c>
      <c r="B3" s="2">
        <v>14571</v>
      </c>
      <c r="C3" s="2" t="s">
        <v>111</v>
      </c>
      <c r="D3" s="2" t="s">
        <v>109</v>
      </c>
      <c r="E3" s="2" t="s">
        <v>112</v>
      </c>
      <c r="H3" s="20" t="s">
        <v>105</v>
      </c>
      <c r="I3" s="1" t="str">
        <f t="shared" ref="I3:I5" si="0">VLOOKUP($I$1,A2:E15,ROW(),0)</f>
        <v>Savings</v>
      </c>
    </row>
    <row r="4" spans="1:9">
      <c r="A4" s="2">
        <v>5600003</v>
      </c>
      <c r="B4" s="2">
        <v>500</v>
      </c>
      <c r="C4" s="2" t="s">
        <v>113</v>
      </c>
      <c r="D4" s="2" t="s">
        <v>109</v>
      </c>
      <c r="E4" s="2" t="s">
        <v>110</v>
      </c>
      <c r="H4" s="20" t="s">
        <v>106</v>
      </c>
      <c r="I4" s="1" t="str">
        <f t="shared" si="0"/>
        <v>Westside</v>
      </c>
    </row>
    <row r="5" spans="1:9">
      <c r="A5" s="2">
        <v>5600004</v>
      </c>
      <c r="B5" s="2">
        <v>15000</v>
      </c>
      <c r="C5" s="2" t="s">
        <v>111</v>
      </c>
      <c r="D5" s="2" t="s">
        <v>109</v>
      </c>
      <c r="E5" s="2" t="s">
        <v>110</v>
      </c>
      <c r="H5" s="20" t="s">
        <v>107</v>
      </c>
      <c r="I5" s="1" t="str">
        <f t="shared" si="0"/>
        <v>New</v>
      </c>
    </row>
    <row r="6" spans="1:9">
      <c r="A6" s="2">
        <v>5600005</v>
      </c>
      <c r="B6" s="2">
        <v>4623</v>
      </c>
      <c r="C6" s="2" t="s">
        <v>114</v>
      </c>
      <c r="D6" s="2" t="s">
        <v>115</v>
      </c>
      <c r="E6" s="2" t="s">
        <v>110</v>
      </c>
    </row>
    <row r="7" spans="1:9">
      <c r="A7" s="2">
        <v>5600006</v>
      </c>
      <c r="B7" s="2">
        <v>8721</v>
      </c>
      <c r="C7" s="2" t="s">
        <v>114</v>
      </c>
      <c r="D7" s="2" t="s">
        <v>116</v>
      </c>
      <c r="E7" s="2" t="s">
        <v>112</v>
      </c>
    </row>
    <row r="8" spans="1:9">
      <c r="A8" s="2">
        <v>5600007</v>
      </c>
      <c r="B8" s="2">
        <v>15276</v>
      </c>
      <c r="C8" s="2" t="s">
        <v>114</v>
      </c>
      <c r="D8" s="2" t="s">
        <v>115</v>
      </c>
      <c r="E8" s="2" t="s">
        <v>110</v>
      </c>
    </row>
    <row r="9" spans="1:9">
      <c r="A9" s="2">
        <v>5600008</v>
      </c>
      <c r="B9" s="2">
        <v>5000</v>
      </c>
      <c r="C9" s="2" t="s">
        <v>114</v>
      </c>
      <c r="D9" s="2" t="s">
        <v>116</v>
      </c>
      <c r="E9" s="2" t="s">
        <v>110</v>
      </c>
      <c r="H9" s="23"/>
      <c r="I9" s="22"/>
    </row>
    <row r="10" spans="1:9">
      <c r="A10" s="2">
        <v>5600009</v>
      </c>
      <c r="B10" s="2">
        <v>15759</v>
      </c>
      <c r="C10" s="2" t="s">
        <v>111</v>
      </c>
      <c r="D10" s="2" t="s">
        <v>116</v>
      </c>
      <c r="E10" s="2" t="s">
        <v>110</v>
      </c>
      <c r="H10" s="23"/>
      <c r="I10" s="22"/>
    </row>
    <row r="11" spans="1:9">
      <c r="A11" s="2">
        <v>5600010</v>
      </c>
      <c r="B11" s="2">
        <v>12000</v>
      </c>
      <c r="C11" s="2" t="s">
        <v>111</v>
      </c>
      <c r="D11" s="2" t="s">
        <v>116</v>
      </c>
      <c r="E11" s="2" t="s">
        <v>110</v>
      </c>
      <c r="H11" s="23"/>
      <c r="I11" s="22"/>
    </row>
    <row r="12" spans="1:9">
      <c r="A12" s="2">
        <v>5600011</v>
      </c>
      <c r="B12" s="2">
        <v>7177</v>
      </c>
      <c r="C12" s="2" t="s">
        <v>114</v>
      </c>
      <c r="D12" s="2" t="s">
        <v>115</v>
      </c>
      <c r="E12" s="2" t="s">
        <v>110</v>
      </c>
      <c r="H12" s="23"/>
      <c r="I12" s="22"/>
    </row>
    <row r="13" spans="1:9">
      <c r="A13" s="2">
        <v>5600012</v>
      </c>
      <c r="B13" s="2">
        <v>6837</v>
      </c>
      <c r="C13" s="2" t="s">
        <v>114</v>
      </c>
      <c r="D13" s="2" t="s">
        <v>116</v>
      </c>
      <c r="E13" s="2" t="s">
        <v>110</v>
      </c>
      <c r="H13" s="23"/>
      <c r="I13" s="22"/>
    </row>
    <row r="14" spans="1:9">
      <c r="A14" s="2">
        <v>5600013</v>
      </c>
      <c r="B14" s="2">
        <v>3171</v>
      </c>
      <c r="C14" s="2" t="s">
        <v>113</v>
      </c>
      <c r="D14" s="2" t="s">
        <v>116</v>
      </c>
      <c r="E14" s="2" t="s">
        <v>110</v>
      </c>
    </row>
  </sheetData>
  <dataValidations count="1">
    <dataValidation type="list" allowBlank="1" showInputMessage="1" showErrorMessage="1" sqref="A1:E1048576 I1 I9" xr:uid="{6BBC320C-706B-46E0-AA38-9610A7348590}">
      <formula1>$A$1:$A$14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2026-09-24T02:21:58Z</dcterms:created>
  <dcterms:modified xsi:type="dcterms:W3CDTF">2026-09-24T17:43:57Z</dcterms:modified>
  <cp:category/>
  <cp:contentStatus/>
</cp:coreProperties>
</file>