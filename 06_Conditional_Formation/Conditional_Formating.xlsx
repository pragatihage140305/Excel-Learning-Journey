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BA08784A-E9CB-486F-A776-A27AEB8D034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<sst xmlns="http://schemas.openxmlformats.org/spreadsheetml/2006/main" count="58" uniqueCount="41">
  <si>
    <t>SR.no</t>
  </si>
  <si>
    <t>Name of Student</t>
  </si>
  <si>
    <t>Sub 1</t>
  </si>
  <si>
    <t>Sub 2</t>
  </si>
  <si>
    <t>Sub 3</t>
  </si>
  <si>
    <t>Total</t>
  </si>
  <si>
    <t>Max</t>
  </si>
  <si>
    <t>Min</t>
  </si>
  <si>
    <t>Average</t>
  </si>
  <si>
    <t>% Age</t>
  </si>
  <si>
    <t>Result</t>
  </si>
  <si>
    <t>Aachal Sharma</t>
  </si>
  <si>
    <t xml:space="preserve">hitesh </t>
  </si>
  <si>
    <t>panjab</t>
  </si>
  <si>
    <t>dinehsh sharma</t>
  </si>
  <si>
    <t>radha patil</t>
  </si>
  <si>
    <t>gautami patil</t>
  </si>
  <si>
    <t>ram rathi</t>
  </si>
  <si>
    <t>shivam kulat</t>
  </si>
  <si>
    <t>panjab national</t>
  </si>
  <si>
    <t>rama mali</t>
  </si>
  <si>
    <t>Name</t>
  </si>
  <si>
    <t>Marks</t>
  </si>
  <si>
    <t>City</t>
  </si>
  <si>
    <t>Department</t>
  </si>
  <si>
    <t>Aachal</t>
  </si>
  <si>
    <t>Nagpur</t>
  </si>
  <si>
    <t>Pass</t>
  </si>
  <si>
    <t>IT</t>
  </si>
  <si>
    <t>Payal</t>
  </si>
  <si>
    <t>Pune</t>
  </si>
  <si>
    <t>Fail</t>
  </si>
  <si>
    <t>HR</t>
  </si>
  <si>
    <t>Pragati</t>
  </si>
  <si>
    <t>Mumbai</t>
  </si>
  <si>
    <t>Pending</t>
  </si>
  <si>
    <t>Finance</t>
  </si>
  <si>
    <t>Siya</t>
  </si>
  <si>
    <t>Nashik</t>
  </si>
  <si>
    <t>Shivam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</si>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</sst>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5"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5" tint="-0.249977111117893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7030A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F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70C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F0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E16" sqref="E16"/>
    </sheetView>
  </sheetViews>
  <sheetFormatPr defaultRowHeight="15"/>
  <cols>
    <col min="2" max="2" width="16.140625" bestFit="1" customWidth="1"/>
    <col min="10" max="10" width="10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54</v>
      </c>
      <c r="D2">
        <v>23</v>
      </c>
      <c r="E2">
        <v>33</v>
      </c>
      <c r="F2">
        <f>SUM(C2:E2)</f>
        <v>110</v>
      </c>
      <c r="G2">
        <f>MAX(C2:E2)</f>
        <v>54</v>
      </c>
      <c r="H2">
        <f>MIN(C2:E2)</f>
        <v>23</v>
      </c>
      <c r="I2" s="2">
        <f>AVERAGE(C2:E2)</f>
        <v>36.666666666666664</v>
      </c>
      <c r="J2" s="3">
        <f>F2/350*100</f>
        <v>31.428571428571427</v>
      </c>
      <c r="K2" t="str">
        <f>IF(J2&gt;=35,"Pass","Fail")</f>
        <v>Fail</v>
      </c>
    </row>
    <row r="3" spans="1:11">
      <c r="A3">
        <v>2</v>
      </c>
      <c r="B3" t="s">
        <v>12</v>
      </c>
      <c r="C3">
        <v>62</v>
      </c>
      <c r="D3">
        <v>76</v>
      </c>
      <c r="E3">
        <v>30</v>
      </c>
      <c r="F3">
        <f t="shared" ref="F3:F11" si="0">SUM(C3:E3)</f>
        <v>168</v>
      </c>
      <c r="G3">
        <f t="shared" ref="G3:G11" si="1">MAX(C3:E3)</f>
        <v>76</v>
      </c>
      <c r="H3">
        <f t="shared" ref="H3:H11" si="2">MIN(C3:E3)</f>
        <v>30</v>
      </c>
      <c r="I3" s="2">
        <f t="shared" ref="I3:I11" si="3">AVERAGE(C3:E3)</f>
        <v>56</v>
      </c>
      <c r="J3" s="3">
        <f t="shared" ref="J3:J11" si="4">F3/350*100</f>
        <v>48</v>
      </c>
      <c r="K3" t="str">
        <f t="shared" ref="K3:K11" si="5">IF(J3&gt;=35,"Pass","Fail")</f>
        <v>Pass</v>
      </c>
    </row>
    <row r="4" spans="1:11">
      <c r="A4">
        <v>3</v>
      </c>
      <c r="B4" t="s">
        <v>13</v>
      </c>
      <c r="C4">
        <v>94</v>
      </c>
      <c r="D4">
        <v>18</v>
      </c>
      <c r="E4">
        <v>44</v>
      </c>
      <c r="F4">
        <f t="shared" si="0"/>
        <v>156</v>
      </c>
      <c r="G4">
        <f t="shared" si="1"/>
        <v>94</v>
      </c>
      <c r="H4">
        <f t="shared" si="2"/>
        <v>18</v>
      </c>
      <c r="I4" s="2">
        <f t="shared" si="3"/>
        <v>52</v>
      </c>
      <c r="J4" s="3">
        <f t="shared" si="4"/>
        <v>44.571428571428569</v>
      </c>
      <c r="K4" t="str">
        <f t="shared" si="5"/>
        <v>Pass</v>
      </c>
    </row>
    <row r="5" spans="1:11">
      <c r="A5">
        <v>4</v>
      </c>
      <c r="B5" t="s">
        <v>14</v>
      </c>
      <c r="C5">
        <v>33</v>
      </c>
      <c r="D5">
        <v>10</v>
      </c>
      <c r="E5">
        <v>11</v>
      </c>
      <c r="F5">
        <f t="shared" si="0"/>
        <v>54</v>
      </c>
      <c r="G5">
        <f t="shared" si="1"/>
        <v>33</v>
      </c>
      <c r="H5">
        <f t="shared" si="2"/>
        <v>10</v>
      </c>
      <c r="I5" s="2">
        <f t="shared" si="3"/>
        <v>18</v>
      </c>
      <c r="J5" s="3">
        <f t="shared" si="4"/>
        <v>15.428571428571427</v>
      </c>
      <c r="K5" t="str">
        <f t="shared" si="5"/>
        <v>Fail</v>
      </c>
    </row>
    <row r="6" spans="1:11">
      <c r="A6">
        <v>5</v>
      </c>
      <c r="B6" t="s">
        <v>15</v>
      </c>
      <c r="C6">
        <v>95</v>
      </c>
      <c r="D6">
        <v>65</v>
      </c>
      <c r="E6">
        <v>97</v>
      </c>
      <c r="F6">
        <f t="shared" si="0"/>
        <v>257</v>
      </c>
      <c r="G6">
        <f t="shared" si="1"/>
        <v>97</v>
      </c>
      <c r="H6">
        <f t="shared" si="2"/>
        <v>65</v>
      </c>
      <c r="I6" s="2">
        <f t="shared" si="3"/>
        <v>85.666666666666671</v>
      </c>
      <c r="J6" s="3">
        <f t="shared" si="4"/>
        <v>73.428571428571431</v>
      </c>
      <c r="K6" t="str">
        <f t="shared" si="5"/>
        <v>Pass</v>
      </c>
    </row>
    <row r="7" spans="1:11">
      <c r="A7">
        <v>6</v>
      </c>
      <c r="B7" t="s">
        <v>16</v>
      </c>
      <c r="C7">
        <v>64</v>
      </c>
      <c r="D7">
        <v>42</v>
      </c>
      <c r="E7">
        <v>22</v>
      </c>
      <c r="F7">
        <f t="shared" si="0"/>
        <v>128</v>
      </c>
      <c r="G7">
        <f t="shared" si="1"/>
        <v>64</v>
      </c>
      <c r="H7">
        <f t="shared" si="2"/>
        <v>22</v>
      </c>
      <c r="I7" s="2">
        <f t="shared" si="3"/>
        <v>42.666666666666664</v>
      </c>
      <c r="J7" s="3">
        <f t="shared" si="4"/>
        <v>36.571428571428569</v>
      </c>
      <c r="K7" t="str">
        <f t="shared" si="5"/>
        <v>Pass</v>
      </c>
    </row>
    <row r="8" spans="1:11">
      <c r="A8">
        <v>7</v>
      </c>
      <c r="B8" t="s">
        <v>17</v>
      </c>
      <c r="C8">
        <v>46</v>
      </c>
      <c r="D8">
        <v>35</v>
      </c>
      <c r="E8">
        <v>47</v>
      </c>
      <c r="F8">
        <f t="shared" si="0"/>
        <v>128</v>
      </c>
      <c r="G8">
        <f t="shared" si="1"/>
        <v>47</v>
      </c>
      <c r="H8">
        <f t="shared" si="2"/>
        <v>35</v>
      </c>
      <c r="I8" s="2">
        <f t="shared" si="3"/>
        <v>42.666666666666664</v>
      </c>
      <c r="J8" s="3">
        <f t="shared" si="4"/>
        <v>36.571428571428569</v>
      </c>
      <c r="K8" t="str">
        <f t="shared" si="5"/>
        <v>Pass</v>
      </c>
    </row>
    <row r="9" spans="1:11">
      <c r="A9">
        <v>8</v>
      </c>
      <c r="B9" t="s">
        <v>18</v>
      </c>
      <c r="C9">
        <v>78</v>
      </c>
      <c r="D9">
        <v>42</v>
      </c>
      <c r="E9">
        <v>55</v>
      </c>
      <c r="F9">
        <f t="shared" si="0"/>
        <v>175</v>
      </c>
      <c r="G9">
        <f t="shared" si="1"/>
        <v>78</v>
      </c>
      <c r="H9">
        <f t="shared" si="2"/>
        <v>42</v>
      </c>
      <c r="I9" s="2">
        <f t="shared" si="3"/>
        <v>58.333333333333336</v>
      </c>
      <c r="J9" s="3">
        <f t="shared" si="4"/>
        <v>50</v>
      </c>
      <c r="K9" t="str">
        <f t="shared" si="5"/>
        <v>Pass</v>
      </c>
    </row>
    <row r="10" spans="1:11">
      <c r="A10">
        <v>9</v>
      </c>
      <c r="B10" t="s">
        <v>19</v>
      </c>
      <c r="C10">
        <v>72</v>
      </c>
      <c r="D10">
        <v>20</v>
      </c>
      <c r="E10">
        <v>67</v>
      </c>
      <c r="F10">
        <f t="shared" si="0"/>
        <v>159</v>
      </c>
      <c r="G10">
        <f t="shared" si="1"/>
        <v>72</v>
      </c>
      <c r="H10">
        <f t="shared" si="2"/>
        <v>20</v>
      </c>
      <c r="I10" s="2">
        <f t="shared" si="3"/>
        <v>53</v>
      </c>
      <c r="J10" s="3">
        <f t="shared" si="4"/>
        <v>45.428571428571431</v>
      </c>
      <c r="K10" t="str">
        <f t="shared" si="5"/>
        <v>Pass</v>
      </c>
    </row>
    <row r="11" spans="1:11">
      <c r="A11">
        <v>10</v>
      </c>
      <c r="B11" t="s">
        <v>20</v>
      </c>
      <c r="C11">
        <v>34</v>
      </c>
      <c r="D11">
        <v>36</v>
      </c>
      <c r="E11">
        <v>67</v>
      </c>
      <c r="F11">
        <f t="shared" si="0"/>
        <v>137</v>
      </c>
      <c r="G11">
        <f t="shared" si="1"/>
        <v>67</v>
      </c>
      <c r="H11">
        <f t="shared" si="2"/>
        <v>34</v>
      </c>
      <c r="I11" s="2">
        <f t="shared" si="3"/>
        <v>45.666666666666664</v>
      </c>
      <c r="J11" s="3">
        <f t="shared" si="4"/>
        <v>39.142857142857139</v>
      </c>
      <c r="K11" t="str">
        <f t="shared" si="5"/>
        <v>Pass</v>
      </c>
    </row>
  </sheetData>
  <conditionalFormatting sqref="J2:J5 J7:J11">
    <cfRule type="cellIs" dxfId="24" priority="5" operator="greaterThan">
      <formula>60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46FE-76A6-4693-8E81-279879874BCE}">
  <dimension ref="A1:E9"/>
  <sheetViews>
    <sheetView tabSelected="1" workbookViewId="0">
      <selection activeCell="D17" sqref="D17"/>
    </sheetView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5" t="s">
        <v>10</v>
      </c>
      <c r="E1" s="1" t="s">
        <v>24</v>
      </c>
    </row>
    <row r="2" spans="1:5">
      <c r="A2" s="4" t="s">
        <v>25</v>
      </c>
      <c r="B2" s="4">
        <v>85</v>
      </c>
      <c r="C2" s="4" t="s">
        <v>26</v>
      </c>
      <c r="D2" t="s">
        <v>27</v>
      </c>
      <c r="E2" t="s">
        <v>28</v>
      </c>
    </row>
    <row r="3" spans="1:5">
      <c r="A3" s="4" t="s">
        <v>29</v>
      </c>
      <c r="B3" s="4">
        <v>42</v>
      </c>
      <c r="C3" s="4" t="s">
        <v>30</v>
      </c>
      <c r="D3" t="s">
        <v>31</v>
      </c>
      <c r="E3" t="s">
        <v>32</v>
      </c>
    </row>
    <row r="4" spans="1:5">
      <c r="A4" s="4" t="s">
        <v>33</v>
      </c>
      <c r="B4" s="4">
        <v>91</v>
      </c>
      <c r="C4" s="4" t="s">
        <v>34</v>
      </c>
      <c r="D4" t="s">
        <v>27</v>
      </c>
      <c r="E4" t="s">
        <v>28</v>
      </c>
    </row>
    <row r="5" spans="1:5">
      <c r="A5" s="4" t="s">
        <v>25</v>
      </c>
      <c r="B5" s="4">
        <v>67</v>
      </c>
      <c r="C5" s="4" t="s">
        <v>26</v>
      </c>
      <c r="D5" t="s">
        <v>35</v>
      </c>
      <c r="E5" s="6" t="s">
        <v>36</v>
      </c>
    </row>
    <row r="6" spans="1:5">
      <c r="A6" s="4" t="s">
        <v>37</v>
      </c>
      <c r="B6" s="4">
        <v>35</v>
      </c>
      <c r="C6" s="4" t="s">
        <v>38</v>
      </c>
      <c r="D6" t="s">
        <v>31</v>
      </c>
      <c r="E6" t="s">
        <v>32</v>
      </c>
    </row>
    <row r="7" spans="1:5">
      <c r="A7" s="4" t="s">
        <v>29</v>
      </c>
      <c r="B7" s="4">
        <v>78</v>
      </c>
      <c r="C7" s="4" t="s">
        <v>30</v>
      </c>
      <c r="D7" t="s">
        <v>27</v>
      </c>
      <c r="E7" t="s">
        <v>28</v>
      </c>
    </row>
    <row r="8" spans="1:5">
      <c r="A8" s="4" t="s">
        <v>39</v>
      </c>
      <c r="B8" s="4">
        <v>95</v>
      </c>
      <c r="C8" s="4" t="s">
        <v>40</v>
      </c>
      <c r="D8" t="s">
        <v>35</v>
      </c>
      <c r="E8" t="s">
        <v>36</v>
      </c>
    </row>
    <row r="9" spans="1:5">
      <c r="A9" s="4" t="s">
        <v>33</v>
      </c>
      <c r="B9" s="4">
        <v>54</v>
      </c>
      <c r="C9" s="4" t="s">
        <v>34</v>
      </c>
      <c r="D9" t="s">
        <v>27</v>
      </c>
      <c r="E9" t="s">
        <v>32</v>
      </c>
    </row>
  </sheetData>
  <conditionalFormatting sqref="B2:B9">
    <cfRule type="cellIs" dxfId="23" priority="25" operator="greaterThan">
      <formula>70</formula>
    </cfRule>
  </conditionalFormatting>
  <conditionalFormatting sqref="B2:B9">
    <cfRule type="cellIs" dxfId="22" priority="24" operator="lessThan">
      <formula>60</formula>
    </cfRule>
  </conditionalFormatting>
  <conditionalFormatting sqref="C2:C4">
    <cfRule type="duplicateValues" dxfId="21" priority="23"/>
  </conditionalFormatting>
  <conditionalFormatting sqref="C2:C9">
    <cfRule type="duplicateValues" dxfId="20" priority="22"/>
  </conditionalFormatting>
  <conditionalFormatting sqref="C6">
    <cfRule type="notContainsBlanks" dxfId="19" priority="20">
      <formula>LEN(TRIM(C6))&gt;0</formula>
    </cfRule>
  </conditionalFormatting>
  <conditionalFormatting sqref="B2:B9">
    <cfRule type="cellIs" dxfId="18" priority="19" operator="between">
      <formula>40</formula>
      <formula>70</formula>
    </cfRule>
  </conditionalFormatting>
  <conditionalFormatting sqref="B2:B9">
    <cfRule type="top10" dxfId="17" priority="18" rank="3"/>
  </conditionalFormatting>
  <conditionalFormatting sqref="B2:B9">
    <cfRule type="top10" dxfId="16" priority="17" percent="1" rank="3"/>
  </conditionalFormatting>
  <conditionalFormatting sqref="B2:B9">
    <cfRule type="top10" dxfId="15" priority="16" bottom="1" rank="3"/>
  </conditionalFormatting>
  <conditionalFormatting sqref="B2:B10">
    <cfRule type="aboveAverage" dxfId="14" priority="15"/>
  </conditionalFormatting>
  <conditionalFormatting sqref="B2:B9">
    <cfRule type="aboveAverage" dxfId="13" priority="14" aboveAverage="0"/>
  </conditionalFormatting>
  <conditionalFormatting sqref="D2:D9">
    <cfRule type="containsText" dxfId="12" priority="13" operator="containsText" text="Pass">
      <formula>NOT(ISERROR(SEARCH("Pass",D2)))</formula>
    </cfRule>
  </conditionalFormatting>
  <conditionalFormatting sqref="B2:D9">
    <cfRule type="notContainsBlanks" dxfId="11" priority="12">
      <formula>LEN(TRIM(B2))&gt;0</formula>
    </cfRule>
  </conditionalFormatting>
  <conditionalFormatting sqref="A12">
    <cfRule type="notContainsBlanks" dxfId="10" priority="11">
      <formula>LEN(TRIM(A12))&gt;0</formula>
    </cfRule>
  </conditionalFormatting>
  <conditionalFormatting sqref="C2:C9">
    <cfRule type="duplicateValues" dxfId="8" priority="10"/>
  </conditionalFormatting>
  <conditionalFormatting sqref="D2:D9">
    <cfRule type="cellIs" dxfId="6" priority="8" operator="between">
      <formula>"Fail"</formula>
      <formula>"Pending"</formula>
    </cfRule>
  </conditionalFormatting>
  <conditionalFormatting sqref="D2:D9">
    <cfRule type="containsText" dxfId="5" priority="7" operator="containsText" text="Pass">
      <formula>NOT(ISERROR(SEARCH("Pass",D2)))</formula>
    </cfRule>
  </conditionalFormatting>
  <conditionalFormatting sqref="D2:D9">
    <cfRule type="containsText" dxfId="4" priority="6" operator="containsText" text="Pending">
      <formula>NOT(ISERROR(SEARCH("Pending",D2)))</formula>
    </cfRule>
  </conditionalFormatting>
  <conditionalFormatting sqref="B2:B9">
    <cfRule type="cellIs" dxfId="3" priority="5" operator="greaterThan">
      <formula>70</formula>
    </cfRule>
  </conditionalFormatting>
  <conditionalFormatting sqref="B2:B9">
    <cfRule type="colorScale" priority="4">
      <colorScale>
        <cfvo type="min"/>
        <cfvo type="max"/>
        <color rgb="FFFCFCFF"/>
        <color rgb="FFF8696B"/>
      </colorScale>
    </cfRule>
  </conditionalFormatting>
  <conditionalFormatting sqref="A2:A9">
    <cfRule type="containsText" dxfId="2" priority="3" operator="containsText" text="p">
      <formula>NOT(ISERROR(SEARCH("p",A2)))</formula>
    </cfRule>
  </conditionalFormatting>
  <conditionalFormatting sqref="E2:E9">
    <cfRule type="containsText" dxfId="1" priority="2" operator="containsText" text="HR">
      <formula>NOT(ISERROR(SEARCH("HR",E2)))</formula>
    </cfRule>
  </conditionalFormatting>
  <conditionalFormatting sqref="A2:A9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operator="containsText" id="{70DCC006-CCDD-4823-97E9-BE6ACFCBC50A}">
            <xm:f>NOT(ISERROR(SEARCH($C$8,C2)))</xm:f>
            <xm:f>$C$8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C2:C9</xm:sqref>
        </x14:conditionalFormatting>
        <x14:conditionalFormatting xmlns:xm="http://schemas.microsoft.com/office/excel/2006/main">
          <x14:cfRule type="containsText" priority="9" operator="containsText" id="{2451DBDD-A646-407C-960C-1A10D33F9C77}">
            <xm:f>NOT(ISERROR(SEARCH($C$6,C6)))</xm:f>
            <xm:f>$C$6</xm:f>
            <x14:dxf>
              <font>
                <color rgb="FF00B050"/>
              </font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2026-08-25T03:51:39Z</dcterms:modified>
  <cp:category/>
  <cp:contentStatus/>
</cp:coreProperties>
</file>